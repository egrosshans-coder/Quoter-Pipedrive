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ups To Do" sheetId="1" state="visible" r:id="rId3"/>
    <sheet name="Items" sheetId="2" state="visible" r:id="rId4"/>
    <sheet name="Summary" sheetId="3" state="visible" r:id="rId5"/>
  </sheets>
  <definedNames>
    <definedName function="false" hidden="true" localSheetId="1" name="_xlnm._FilterDatabase" vbProcedure="false">Items!$A$1:$I$298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<sst xmlns="http://schemas.openxmlformats.org/spreadsheetml/2006/main" count="2146" uniqueCount="1196">
  <si>
    <t xml:space="preserve">Items Cleanup — action list (from export_items_20260724.csv, 297 items)</t>
  </si>
  <si>
    <t xml:space="preserve">Fix these in Quoter. Small, one-time data hygiene — independent of the v1→v2 migration.</t>
  </si>
  <si>
    <t xml:space="preserve">#</t>
  </si>
  <si>
    <t xml:space="preserve">Issue</t>
  </si>
  <si>
    <t xml:space="preserve">Item Name</t>
  </si>
  <si>
    <t xml:space="preserve">Code</t>
  </si>
  <si>
    <t xml:space="preserve">Supplier SKU (PD id)</t>
  </si>
  <si>
    <t xml:space="preserve">Category / Subcategory</t>
  </si>
  <si>
    <t xml:space="preserve">Suggested fix</t>
  </si>
  <si>
    <t xml:space="preserve">Duplicate PD id (195); Duplicate Code (HG-FVV-080-001)</t>
  </si>
  <si>
    <t xml:space="preserve">FV-32in-80 Fan Holographic</t>
  </si>
  <si>
    <t xml:space="preserve">HG-FVV-080-001</t>
  </si>
  <si>
    <t xml:space="preserve">195</t>
  </si>
  <si>
    <t xml:space="preserve">Hologram / FV</t>
  </si>
  <si>
    <t xml:space="preserve">Two items point to the same Pipedrive product. Decide the correct owner; re-link or split the other. Two items share this Code. Make Code unique so it can serve as the match key.</t>
  </si>
  <si>
    <t xml:space="preserve">FV-32in-80 Fan Holographic / Rental Only / No Technician</t>
  </si>
  <si>
    <t xml:space="preserve">Duplicate PD id (794)</t>
  </si>
  <si>
    <t xml:space="preserve">Nitrogen regulator</t>
  </si>
  <si>
    <t xml:space="preserve">EQP-NTR-001</t>
  </si>
  <si>
    <t xml:space="preserve">794</t>
  </si>
  <si>
    <t xml:space="preserve">Confetti/Streamers</t>
  </si>
  <si>
    <t xml:space="preserve">Two items point to the same Pipedrive product. Decide the correct owner; re-link or split the other.</t>
  </si>
  <si>
    <t xml:space="preserve">CNF-NIT-REG</t>
  </si>
  <si>
    <t xml:space="preserve">Confetti/Streamers / Nitrogen</t>
  </si>
  <si>
    <t xml:space="preserve">Unlinked (no Supplier SKU)</t>
  </si>
  <si>
    <t xml:space="preserve">FVV-MasterBox</t>
  </si>
  <si>
    <t xml:space="preserve">HG-FVV-MBOX-001</t>
  </si>
  <si>
    <t xml:space="preserve">(empty)</t>
  </si>
  <si>
    <t xml:space="preserve">Confirm/create the matching Pipedrive product, then set its PD id as Supplier SKU (or leave for the sync to create).</t>
  </si>
  <si>
    <t xml:space="preserve">Category</t>
  </si>
  <si>
    <t xml:space="preserve">Subcategory</t>
  </si>
  <si>
    <t xml:space="preserve">Supplier</t>
  </si>
  <si>
    <t xml:space="preserve">USD Price</t>
  </si>
  <si>
    <t xml:space="preserve">Recurring</t>
  </si>
  <si>
    <t xml:space="preserve">Horizon Managed Services</t>
  </si>
  <si>
    <t xml:space="preserve">MGS</t>
  </si>
  <si>
    <t xml:space="preserve">Service</t>
  </si>
  <si>
    <t xml:space="preserve">407</t>
  </si>
  <si>
    <t xml:space="preserve">TLC Creative Special Effects</t>
  </si>
  <si>
    <t xml:space="preserve">101</t>
  </si>
  <si>
    <t xml:space="preserve">Monthly</t>
  </si>
  <si>
    <t xml:space="preserve">FV-30 Fan Holographic</t>
  </si>
  <si>
    <t xml:space="preserve">HG-FVH-L30-001</t>
  </si>
  <si>
    <t xml:space="preserve">Hologram</t>
  </si>
  <si>
    <t xml:space="preserve">FV</t>
  </si>
  <si>
    <t xml:space="preserve">1</t>
  </si>
  <si>
    <t xml:space="preserve">2500</t>
  </si>
  <si>
    <t xml:space="preserve">No</t>
  </si>
  <si>
    <t xml:space="preserve">FV-22 Fan Holographic</t>
  </si>
  <si>
    <t xml:space="preserve">HG-FVH-M22-001</t>
  </si>
  <si>
    <t xml:space="preserve">2</t>
  </si>
  <si>
    <t xml:space="preserve">2000</t>
  </si>
  <si>
    <t xml:space="preserve">FV-Standard Graphics Pkg</t>
  </si>
  <si>
    <t xml:space="preserve">HG-FV-Graph-001</t>
  </si>
  <si>
    <t xml:space="preserve">4</t>
  </si>
  <si>
    <t xml:space="preserve">500</t>
  </si>
  <si>
    <t xml:space="preserve">FV-HoloHuman</t>
  </si>
  <si>
    <t xml:space="preserve">HG-FVH-HH-001</t>
  </si>
  <si>
    <t xml:space="preserve">6</t>
  </si>
  <si>
    <t xml:space="preserve">10000</t>
  </si>
  <si>
    <t xml:space="preserve">LED-Xylo-Lanyard</t>
  </si>
  <si>
    <t xml:space="preserve">LED-LYX-001</t>
  </si>
  <si>
    <t xml:space="preserve">Wristbands/Lanyards/Orbs</t>
  </si>
  <si>
    <t xml:space="preserve">Landyard-Xylo</t>
  </si>
  <si>
    <t xml:space="preserve">8</t>
  </si>
  <si>
    <t xml:space="preserve">15</t>
  </si>
  <si>
    <t xml:space="preserve">FV-HoloHuman-Case</t>
  </si>
  <si>
    <t xml:space="preserve">HG-FVH-HH-002</t>
  </si>
  <si>
    <t xml:space="preserve">11</t>
  </si>
  <si>
    <t xml:space="preserve">FV-MasterBox</t>
  </si>
  <si>
    <t xml:space="preserve">HG-FVH-MBOX-001</t>
  </si>
  <si>
    <t xml:space="preserve">12</t>
  </si>
  <si>
    <t xml:space="preserve">1000</t>
  </si>
  <si>
    <t xml:space="preserve">LED-Sphere-10in</t>
  </si>
  <si>
    <t xml:space="preserve">LED-SPH-001</t>
  </si>
  <si>
    <t xml:space="preserve">Orbs</t>
  </si>
  <si>
    <t xml:space="preserve">200</t>
  </si>
  <si>
    <t xml:space="preserve">LED-Mesh</t>
  </si>
  <si>
    <t xml:space="preserve">LED-MSH-001</t>
  </si>
  <si>
    <t xml:space="preserve">LED Tubes/Floor/Panels</t>
  </si>
  <si>
    <t xml:space="preserve">Mesh</t>
  </si>
  <si>
    <t xml:space="preserve">18</t>
  </si>
  <si>
    <t xml:space="preserve">50000</t>
  </si>
  <si>
    <t xml:space="preserve">LED-3D Floor</t>
  </si>
  <si>
    <t xml:space="preserve">LED-FLR-001</t>
  </si>
  <si>
    <t xml:space="preserve">Floor</t>
  </si>
  <si>
    <t xml:space="preserve">19</t>
  </si>
  <si>
    <t xml:space="preserve">300</t>
  </si>
  <si>
    <t xml:space="preserve">Drone Challenge</t>
  </si>
  <si>
    <t xml:space="preserve">DRN-IN-CHAL-001</t>
  </si>
  <si>
    <t xml:space="preserve">Drones</t>
  </si>
  <si>
    <t xml:space="preserve">Indoor</t>
  </si>
  <si>
    <t xml:space="preserve">20</t>
  </si>
  <si>
    <t xml:space="preserve">18000</t>
  </si>
  <si>
    <t xml:space="preserve">Drone-Indoor</t>
  </si>
  <si>
    <t xml:space="preserve">DRN-IN-MOD-001</t>
  </si>
  <si>
    <t xml:space="preserve">21</t>
  </si>
  <si>
    <t xml:space="preserve">Drone-Outdoor</t>
  </si>
  <si>
    <t xml:space="preserve">DRN-OUT-001</t>
  </si>
  <si>
    <t xml:space="preserve">Outdoor</t>
  </si>
  <si>
    <t xml:space="preserve">22</t>
  </si>
  <si>
    <t xml:space="preserve">750</t>
  </si>
  <si>
    <t xml:space="preserve">Drone Indoor Show</t>
  </si>
  <si>
    <t xml:space="preserve">DRN-IN-SHO-001</t>
  </si>
  <si>
    <t xml:space="preserve">23</t>
  </si>
  <si>
    <t xml:space="preserve">15000</t>
  </si>
  <si>
    <t xml:space="preserve">Drone-Outdoor Show</t>
  </si>
  <si>
    <t xml:space="preserve">DRN-OUTSHO-001</t>
  </si>
  <si>
    <t xml:space="preserve">24</t>
  </si>
  <si>
    <t xml:space="preserve">20000</t>
  </si>
  <si>
    <t xml:space="preserve">Laser 30Watt</t>
  </si>
  <si>
    <t xml:space="preserve">LSR-30W-001</t>
  </si>
  <si>
    <t xml:space="preserve">Laser</t>
  </si>
  <si>
    <t xml:space="preserve">30Watt</t>
  </si>
  <si>
    <t xml:space="preserve">25</t>
  </si>
  <si>
    <t xml:space="preserve">5000</t>
  </si>
  <si>
    <t xml:space="preserve">Laser Tripods</t>
  </si>
  <si>
    <t xml:space="preserve">LSR-TRI-001</t>
  </si>
  <si>
    <t xml:space="preserve">Tripod</t>
  </si>
  <si>
    <t xml:space="preserve">26</t>
  </si>
  <si>
    <t xml:space="preserve">100</t>
  </si>
  <si>
    <t xml:space="preserve">Robotic Dog</t>
  </si>
  <si>
    <t xml:space="preserve">ROB-DOG-001</t>
  </si>
  <si>
    <t xml:space="preserve">Robotics</t>
  </si>
  <si>
    <t xml:space="preserve">Dog</t>
  </si>
  <si>
    <t xml:space="preserve">27</t>
  </si>
  <si>
    <t xml:space="preserve">Robotic Arm</t>
  </si>
  <si>
    <t xml:space="preserve">ROB-ARM-001</t>
  </si>
  <si>
    <t xml:space="preserve">Arm</t>
  </si>
  <si>
    <t xml:space="preserve">28</t>
  </si>
  <si>
    <t xml:space="preserve">8000</t>
  </si>
  <si>
    <t xml:space="preserve">Balloon Moon LED</t>
  </si>
  <si>
    <t xml:space="preserve">BAL-MOON-001</t>
  </si>
  <si>
    <t xml:space="preserve">Balloons</t>
  </si>
  <si>
    <t xml:space="preserve">Moon</t>
  </si>
  <si>
    <t xml:space="preserve">29</t>
  </si>
  <si>
    <t xml:space="preserve">1600</t>
  </si>
  <si>
    <t xml:space="preserve">Robotic Wally</t>
  </si>
  <si>
    <t xml:space="preserve">ROB-WAL-001</t>
  </si>
  <si>
    <t xml:space="preserve">Walle</t>
  </si>
  <si>
    <t xml:space="preserve">30</t>
  </si>
  <si>
    <t xml:space="preserve">Disappearing Balloon Wall</t>
  </si>
  <si>
    <t xml:space="preserve">BAL-WALL-001</t>
  </si>
  <si>
    <t xml:space="preserve">Wall-Disappearing</t>
  </si>
  <si>
    <t xml:space="preserve">31</t>
  </si>
  <si>
    <t xml:space="preserve">1500</t>
  </si>
  <si>
    <t xml:space="preserve">Laser Sphere Hologram</t>
  </si>
  <si>
    <t xml:space="preserve">LSR-SPH-HOL-001</t>
  </si>
  <si>
    <t xml:space="preserve">Sphere</t>
  </si>
  <si>
    <t xml:space="preserve">32</t>
  </si>
  <si>
    <t xml:space="preserve">Projection Unique Surfaces</t>
  </si>
  <si>
    <t xml:space="preserve">PRO-UNQ-SRF-001</t>
  </si>
  <si>
    <t xml:space="preserve">Projection</t>
  </si>
  <si>
    <t xml:space="preserve">Mapping</t>
  </si>
  <si>
    <t xml:space="preserve">33</t>
  </si>
  <si>
    <t xml:space="preserve">3000</t>
  </si>
  <si>
    <t xml:space="preserve">Floating Mirrored Spheres</t>
  </si>
  <si>
    <t xml:space="preserve">SPH-MIR-FLT-001</t>
  </si>
  <si>
    <t xml:space="preserve">Spheres</t>
  </si>
  <si>
    <t xml:space="preserve">Mirrored</t>
  </si>
  <si>
    <t xml:space="preserve">34</t>
  </si>
  <si>
    <t xml:space="preserve">250</t>
  </si>
  <si>
    <t xml:space="preserve">LED Panel Sphere</t>
  </si>
  <si>
    <t xml:space="preserve">LED-SPH-PNL-001</t>
  </si>
  <si>
    <t xml:space="preserve">Panel</t>
  </si>
  <si>
    <t xml:space="preserve">35</t>
  </si>
  <si>
    <t xml:space="preserve">LED Large Letters</t>
  </si>
  <si>
    <t xml:space="preserve">LED-LTR-001</t>
  </si>
  <si>
    <t xml:space="preserve">Letters</t>
  </si>
  <si>
    <t xml:space="preserve">36</t>
  </si>
  <si>
    <t xml:space="preserve">Laser Light Mapping</t>
  </si>
  <si>
    <t xml:space="preserve">LSR-MAP-001</t>
  </si>
  <si>
    <t xml:space="preserve">37</t>
  </si>
  <si>
    <t xml:space="preserve">Drone Award Delivery</t>
  </si>
  <si>
    <t xml:space="preserve">DRN-IN-DEL-001</t>
  </si>
  <si>
    <t xml:space="preserve">Delivery</t>
  </si>
  <si>
    <t xml:space="preserve">38</t>
  </si>
  <si>
    <t xml:space="preserve">Holographic Table</t>
  </si>
  <si>
    <t xml:space="preserve">HG-TBL-001</t>
  </si>
  <si>
    <t xml:space="preserve">HoloTable</t>
  </si>
  <si>
    <t xml:space="preserve">39</t>
  </si>
  <si>
    <t xml:space="preserve">White Sparkle Fountain Granules</t>
  </si>
  <si>
    <t xml:space="preserve">PYR-WSF-GRAN-001</t>
  </si>
  <si>
    <t xml:space="preserve">Pyro</t>
  </si>
  <si>
    <t xml:space="preserve">Granuals</t>
  </si>
  <si>
    <t xml:space="preserve">41</t>
  </si>
  <si>
    <t xml:space="preserve">102</t>
  </si>
  <si>
    <t xml:space="preserve">Laser Ethernet Cables</t>
  </si>
  <si>
    <t xml:space="preserve">LSR-CBL-ETH-001</t>
  </si>
  <si>
    <t xml:space="preserve">Cables</t>
  </si>
  <si>
    <t xml:space="preserve">42</t>
  </si>
  <si>
    <t xml:space="preserve">Laser Serial Cables</t>
  </si>
  <si>
    <t xml:space="preserve">LSR-CBL-SER-001</t>
  </si>
  <si>
    <t xml:space="preserve">43</t>
  </si>
  <si>
    <t xml:space="preserve">White Sparkle Fountain</t>
  </si>
  <si>
    <t xml:space="preserve">PYR-WSF-MOD-001</t>
  </si>
  <si>
    <t xml:space="preserve">WSF</t>
  </si>
  <si>
    <t xml:space="preserve">44</t>
  </si>
  <si>
    <t xml:space="preserve">CO2 Dewar Tank</t>
  </si>
  <si>
    <t xml:space="preserve">TNK-CO2-DEW-001</t>
  </si>
  <si>
    <t xml:space="preserve">Tanks</t>
  </si>
  <si>
    <t xml:space="preserve">Dewar</t>
  </si>
  <si>
    <t xml:space="preserve">45</t>
  </si>
  <si>
    <t xml:space="preserve">Nitrogen Tank</t>
  </si>
  <si>
    <t xml:space="preserve">TNK-NIT-001</t>
  </si>
  <si>
    <t xml:space="preserve">Nitrogen</t>
  </si>
  <si>
    <t xml:space="preserve">46</t>
  </si>
  <si>
    <t xml:space="preserve">60</t>
  </si>
  <si>
    <t xml:space="preserve">CO2 Syphon Tank</t>
  </si>
  <si>
    <t xml:space="preserve">TNK-CO2-SYP-001</t>
  </si>
  <si>
    <t xml:space="preserve">Syphon</t>
  </si>
  <si>
    <t xml:space="preserve">47</t>
  </si>
  <si>
    <t xml:space="preserve">Confetti/Streamer Cannons</t>
  </si>
  <si>
    <t xml:space="preserve">CNF-CAN-001</t>
  </si>
  <si>
    <t xml:space="preserve">Cannons</t>
  </si>
  <si>
    <t xml:space="preserve">48</t>
  </si>
  <si>
    <t xml:space="preserve">Confetti</t>
  </si>
  <si>
    <t xml:space="preserve">CNF-CNF-001</t>
  </si>
  <si>
    <t xml:space="preserve">49</t>
  </si>
  <si>
    <t xml:space="preserve">Streamers</t>
  </si>
  <si>
    <t xml:space="preserve">CNF-STR-001</t>
  </si>
  <si>
    <t xml:space="preserve">50</t>
  </si>
  <si>
    <t xml:space="preserve">Custom Streamers</t>
  </si>
  <si>
    <t xml:space="preserve">CNF-STR-002</t>
  </si>
  <si>
    <t xml:space="preserve">Streamers-Custom</t>
  </si>
  <si>
    <t xml:space="preserve">51</t>
  </si>
  <si>
    <t xml:space="preserve">40</t>
  </si>
  <si>
    <t xml:space="preserve">Cryo Jet</t>
  </si>
  <si>
    <t xml:space="preserve">CO2-CRY-JET</t>
  </si>
  <si>
    <t xml:space="preserve">CO2</t>
  </si>
  <si>
    <t xml:space="preserve">Cryo-Jet</t>
  </si>
  <si>
    <t xml:space="preserve">52</t>
  </si>
  <si>
    <t xml:space="preserve">150</t>
  </si>
  <si>
    <t xml:space="preserve">3-to-1 splitter CO2</t>
  </si>
  <si>
    <t xml:space="preserve">TNK-3SPL-001</t>
  </si>
  <si>
    <t xml:space="preserve">1-to-3 Splitter</t>
  </si>
  <si>
    <t xml:space="preserve">53</t>
  </si>
  <si>
    <t xml:space="preserve">Low Lying Fog</t>
  </si>
  <si>
    <t xml:space="preserve">FOG-LLF-001</t>
  </si>
  <si>
    <t xml:space="preserve">Fog</t>
  </si>
  <si>
    <t xml:space="preserve">LLF</t>
  </si>
  <si>
    <t xml:space="preserve">54</t>
  </si>
  <si>
    <t xml:space="preserve">Relay Pack</t>
  </si>
  <si>
    <t xml:space="preserve">ELE-RLY-001</t>
  </si>
  <si>
    <t xml:space="preserve">Electrical</t>
  </si>
  <si>
    <t xml:space="preserve">Relay-Pack</t>
  </si>
  <si>
    <t xml:space="preserve">55</t>
  </si>
  <si>
    <t xml:space="preserve">Fogger</t>
  </si>
  <si>
    <t xml:space="preserve">FOG-FGR-001</t>
  </si>
  <si>
    <t xml:space="preserve">56</t>
  </si>
  <si>
    <t xml:space="preserve">Low Lying Fog Fluid</t>
  </si>
  <si>
    <t xml:space="preserve">FOG-LLF-002</t>
  </si>
  <si>
    <t xml:space="preserve">LLF-Fluid</t>
  </si>
  <si>
    <t xml:space="preserve">57</t>
  </si>
  <si>
    <t xml:space="preserve">Low Lying Fog Control System</t>
  </si>
  <si>
    <t xml:space="preserve">FOG-LLF-CTL</t>
  </si>
  <si>
    <t xml:space="preserve">LLF-Control</t>
  </si>
  <si>
    <t xml:space="preserve">58</t>
  </si>
  <si>
    <t xml:space="preserve">FV-Advanced Graphics Pkg</t>
  </si>
  <si>
    <t xml:space="preserve">HG-FV-Graph-002</t>
  </si>
  <si>
    <t xml:space="preserve">FV-Graphics</t>
  </si>
  <si>
    <t xml:space="preserve">59</t>
  </si>
  <si>
    <t xml:space="preserve">FV-Ultimate Graphics Pkg</t>
  </si>
  <si>
    <t xml:space="preserve">HG-FV-Graph-003</t>
  </si>
  <si>
    <t xml:space="preserve">Service Technician for Wristbands</t>
  </si>
  <si>
    <t xml:space="preserve">SVC-WBT-TECH</t>
  </si>
  <si>
    <t xml:space="preserve">Technician-Wristbands</t>
  </si>
  <si>
    <t xml:space="preserve">68</t>
  </si>
  <si>
    <t xml:space="preserve">950</t>
  </si>
  <si>
    <t xml:space="preserve">Xylo 8-LED Wristband</t>
  </si>
  <si>
    <t xml:space="preserve">LED-WBX-MK4-001</t>
  </si>
  <si>
    <t xml:space="preserve">Wristband-Xylo</t>
  </si>
  <si>
    <t xml:space="preserve">74</t>
  </si>
  <si>
    <t xml:space="preserve">Controller-Xylobands-Wristbands/Lanyards</t>
  </si>
  <si>
    <t xml:space="preserve">LED-WBX-CTX</t>
  </si>
  <si>
    <t xml:space="preserve">Controller-Xylo</t>
  </si>
  <si>
    <t xml:space="preserve">77</t>
  </si>
  <si>
    <t xml:space="preserve">2400</t>
  </si>
  <si>
    <t xml:space="preserve">Remote Control for Wristbands/Lanyards</t>
  </si>
  <si>
    <t xml:space="preserve">LED-WBE-HTX</t>
  </si>
  <si>
    <t xml:space="preserve">Handheld-Xylo</t>
  </si>
  <si>
    <t xml:space="preserve">80</t>
  </si>
  <si>
    <t xml:space="preserve">Launchpad for Wristbands/Lanyards</t>
  </si>
  <si>
    <t xml:space="preserve">LED-WBE-LPAD</t>
  </si>
  <si>
    <t xml:space="preserve">Launchpad</t>
  </si>
  <si>
    <t xml:space="preserve">81</t>
  </si>
  <si>
    <t xml:space="preserve">Laptop for Wristbands/Lanyards</t>
  </si>
  <si>
    <t xml:space="preserve">LED-WBE-LAP</t>
  </si>
  <si>
    <t xml:space="preserve">Laptop</t>
  </si>
  <si>
    <t xml:space="preserve">82</t>
  </si>
  <si>
    <t xml:space="preserve">HTX Controller Refundable Deposit</t>
  </si>
  <si>
    <t xml:space="preserve">LED-WB-HTX1</t>
  </si>
  <si>
    <t xml:space="preserve">84</t>
  </si>
  <si>
    <t xml:space="preserve">Wristband Branding Options</t>
  </si>
  <si>
    <t xml:space="preserve">LED-WB-BRAND</t>
  </si>
  <si>
    <t xml:space="preserve">Branding</t>
  </si>
  <si>
    <t xml:space="preserve">89</t>
  </si>
  <si>
    <t xml:space="preserve">HoloPortal Full-Size</t>
  </si>
  <si>
    <t xml:space="preserve">HG-HP-86-001</t>
  </si>
  <si>
    <t xml:space="preserve">HoloPortal</t>
  </si>
  <si>
    <t xml:space="preserve">92</t>
  </si>
  <si>
    <t xml:space="preserve">LED-Tubes</t>
  </si>
  <si>
    <t xml:space="preserve">LED-TUB</t>
  </si>
  <si>
    <t xml:space="preserve">Tubes</t>
  </si>
  <si>
    <t xml:space="preserve">93</t>
  </si>
  <si>
    <t xml:space="preserve">Laser-Show</t>
  </si>
  <si>
    <t xml:space="preserve">LSR-BND-001</t>
  </si>
  <si>
    <t xml:space="preserve">Show</t>
  </si>
  <si>
    <t xml:space="preserve">94</t>
  </si>
  <si>
    <t xml:space="preserve">Flying Balloon Wall</t>
  </si>
  <si>
    <t xml:space="preserve">BAL-FLY</t>
  </si>
  <si>
    <t xml:space="preserve">Wall-Flying</t>
  </si>
  <si>
    <t xml:space="preserve">96</t>
  </si>
  <si>
    <t xml:space="preserve">Balloon air filler</t>
  </si>
  <si>
    <t xml:space="preserve">BAL-FIL-001</t>
  </si>
  <si>
    <t xml:space="preserve">Drop</t>
  </si>
  <si>
    <t xml:space="preserve">97</t>
  </si>
  <si>
    <t xml:space="preserve">Confetti Custom Launch</t>
  </si>
  <si>
    <t xml:space="preserve">CNF-LNCH-CUST-001</t>
  </si>
  <si>
    <t xml:space="preserve">Launch-Custom</t>
  </si>
  <si>
    <t xml:space="preserve">98</t>
  </si>
  <si>
    <t xml:space="preserve">7000</t>
  </si>
  <si>
    <t xml:space="preserve">Moving LED Tubes</t>
  </si>
  <si>
    <t xml:space="preserve">LED-TUB-MOV</t>
  </si>
  <si>
    <t xml:space="preserve">Tubes-Kinetic</t>
  </si>
  <si>
    <t xml:space="preserve">99</t>
  </si>
  <si>
    <t xml:space="preserve">TLC 4-Led Wristband</t>
  </si>
  <si>
    <t xml:space="preserve">LED-WBT-4LED-001</t>
  </si>
  <si>
    <t xml:space="preserve">Wristband-TLC</t>
  </si>
  <si>
    <t xml:space="preserve">HoloPod-30</t>
  </si>
  <si>
    <t xml:space="preserve">HG-HP-30-001</t>
  </si>
  <si>
    <t xml:space="preserve">HoloPod</t>
  </si>
  <si>
    <t xml:space="preserve">TLC 2-Led Wristband</t>
  </si>
  <si>
    <t xml:space="preserve">LED-WBT-2LED-001</t>
  </si>
  <si>
    <t xml:space="preserve">Laser Graphics</t>
  </si>
  <si>
    <t xml:space="preserve">LSR-GPH-001</t>
  </si>
  <si>
    <t xml:space="preserve">Graphics</t>
  </si>
  <si>
    <t xml:space="preserve">103</t>
  </si>
  <si>
    <t xml:space="preserve">Fire and Flame Effects</t>
  </si>
  <si>
    <t xml:space="preserve">PYR-FIR_FLM-001</t>
  </si>
  <si>
    <t xml:space="preserve">Fire</t>
  </si>
  <si>
    <t xml:space="preserve">104</t>
  </si>
  <si>
    <t xml:space="preserve">TLC 12-Led Lanyard</t>
  </si>
  <si>
    <t xml:space="preserve">LED-LYT-12LED-001</t>
  </si>
  <si>
    <t xml:space="preserve">Landyard-TLC</t>
  </si>
  <si>
    <t xml:space="preserve">105</t>
  </si>
  <si>
    <t xml:space="preserve">High Powered Laser Beams</t>
  </si>
  <si>
    <t xml:space="preserve">LSR-HP-BEAM-001</t>
  </si>
  <si>
    <t xml:space="preserve">106</t>
  </si>
  <si>
    <t xml:space="preserve">LED Glow Balls</t>
  </si>
  <si>
    <t xml:space="preserve">LED-GLOBAL-001</t>
  </si>
  <si>
    <t xml:space="preserve">GlowBalls</t>
  </si>
  <si>
    <t xml:space="preserve">107</t>
  </si>
  <si>
    <t xml:space="preserve">Fireworks</t>
  </si>
  <si>
    <t xml:space="preserve">PYR-FIR-WRK-001</t>
  </si>
  <si>
    <t xml:space="preserve">108</t>
  </si>
  <si>
    <t xml:space="preserve">Aerial Cameras/Drones</t>
  </si>
  <si>
    <t xml:space="preserve">DRN-CAM-001</t>
  </si>
  <si>
    <t xml:space="preserve">Camera</t>
  </si>
  <si>
    <t xml:space="preserve">109</t>
  </si>
  <si>
    <t xml:space="preserve">Tabletop Glow Orbs</t>
  </si>
  <si>
    <t xml:space="preserve">LED-GLOORB-001</t>
  </si>
  <si>
    <t xml:space="preserve">GlowOrbs</t>
  </si>
  <si>
    <t xml:space="preserve">110</t>
  </si>
  <si>
    <t xml:space="preserve">BUBBLES</t>
  </si>
  <si>
    <t xml:space="preserve">BUB-FOG-001</t>
  </si>
  <si>
    <t xml:space="preserve">Bubbles</t>
  </si>
  <si>
    <t xml:space="preserve">Fog-Bubbles</t>
  </si>
  <si>
    <t xml:space="preserve">111</t>
  </si>
  <si>
    <t xml:space="preserve">Reveals, Kabuki, and Pullaways</t>
  </si>
  <si>
    <t xml:space="preserve">RVL-KBU-PUL-001</t>
  </si>
  <si>
    <t xml:space="preserve">Reveal</t>
  </si>
  <si>
    <t xml:space="preserve">Pullaway-Kabuki</t>
  </si>
  <si>
    <t xml:space="preserve">112</t>
  </si>
  <si>
    <t xml:space="preserve">Simulated Fire</t>
  </si>
  <si>
    <t xml:space="preserve">PYR-FAUX-001</t>
  </si>
  <si>
    <t xml:space="preserve">Faux</t>
  </si>
  <si>
    <t xml:space="preserve">113</t>
  </si>
  <si>
    <t xml:space="preserve">Snow Ice Hill- Sled Run</t>
  </si>
  <si>
    <t xml:space="preserve">SNO-HILL-001</t>
  </si>
  <si>
    <t xml:space="preserve">Snow</t>
  </si>
  <si>
    <t xml:space="preserve">Hillside</t>
  </si>
  <si>
    <t xml:space="preserve">114</t>
  </si>
  <si>
    <t xml:space="preserve">360 VIDEO GLOBES</t>
  </si>
  <si>
    <t xml:space="preserve">PRO-VGLOB-001</t>
  </si>
  <si>
    <t xml:space="preserve">Video-Globes</t>
  </si>
  <si>
    <t xml:space="preserve">115</t>
  </si>
  <si>
    <t xml:space="preserve">Water Special Effects</t>
  </si>
  <si>
    <t xml:space="preserve">WTR-SFX-001</t>
  </si>
  <si>
    <t xml:space="preserve">Water</t>
  </si>
  <si>
    <t xml:space="preserve">FX</t>
  </si>
  <si>
    <t xml:space="preserve">116</t>
  </si>
  <si>
    <t xml:space="preserve">Projection Water Screens</t>
  </si>
  <si>
    <t xml:space="preserve">WTR-PRJ-001</t>
  </si>
  <si>
    <t xml:space="preserve">Screens</t>
  </si>
  <si>
    <t xml:space="preserve">117</t>
  </si>
  <si>
    <t xml:space="preserve">Snow Machines</t>
  </si>
  <si>
    <t xml:space="preserve">SNO-MCH-001</t>
  </si>
  <si>
    <t xml:space="preserve">Machines</t>
  </si>
  <si>
    <t xml:space="preserve">118</t>
  </si>
  <si>
    <t xml:space="preserve">Dancing Water</t>
  </si>
  <si>
    <t xml:space="preserve">WTR-DANCE-001</t>
  </si>
  <si>
    <t xml:space="preserve">Dancing</t>
  </si>
  <si>
    <t xml:space="preserve">119</t>
  </si>
  <si>
    <t xml:space="preserve">Intelligent Water Screens</t>
  </si>
  <si>
    <t xml:space="preserve">WTR-IWS-001</t>
  </si>
  <si>
    <t xml:space="preserve">Intelligent</t>
  </si>
  <si>
    <t xml:space="preserve">120</t>
  </si>
  <si>
    <t xml:space="preserve">Tall Video Panels</t>
  </si>
  <si>
    <t xml:space="preserve">LED-PNL-VRT-001</t>
  </si>
  <si>
    <t xml:space="preserve">Panels-Vertical</t>
  </si>
  <si>
    <t xml:space="preserve">121</t>
  </si>
  <si>
    <t xml:space="preserve">1700</t>
  </si>
  <si>
    <t xml:space="preserve">Laser Array Systems</t>
  </si>
  <si>
    <t xml:space="preserve">LSR-ARRAY-001</t>
  </si>
  <si>
    <t xml:space="preserve">Array</t>
  </si>
  <si>
    <t xml:space="preserve">122</t>
  </si>
  <si>
    <t xml:space="preserve">Shaped LED Video Displays</t>
  </si>
  <si>
    <t xml:space="preserve">LED-SHP-CIR-001</t>
  </si>
  <si>
    <t xml:space="preserve">LED Shapes</t>
  </si>
  <si>
    <t xml:space="preserve">123</t>
  </si>
  <si>
    <t xml:space="preserve">Engage &amp; Interact</t>
  </si>
  <si>
    <t xml:space="preserve">LED-AI-INTER-001</t>
  </si>
  <si>
    <t xml:space="preserve">AI-Engage</t>
  </si>
  <si>
    <t xml:space="preserve">124</t>
  </si>
  <si>
    <t xml:space="preserve">25000</t>
  </si>
  <si>
    <t xml:space="preserve">Video Projection</t>
  </si>
  <si>
    <t xml:space="preserve">PRO-VID-PRJ</t>
  </si>
  <si>
    <t xml:space="preserve">Video</t>
  </si>
  <si>
    <t xml:space="preserve">125</t>
  </si>
  <si>
    <t xml:space="preserve">Virtual Stage Experiences</t>
  </si>
  <si>
    <t xml:space="preserve">HG-VRT-STAGE-001</t>
  </si>
  <si>
    <t xml:space="preserve">Virtual-Stage</t>
  </si>
  <si>
    <t xml:space="preserve">126</t>
  </si>
  <si>
    <t xml:space="preserve">Laser Technician</t>
  </si>
  <si>
    <t xml:space="preserve">SVC-LSR-TECH</t>
  </si>
  <si>
    <t xml:space="preserve">Technician-Laser</t>
  </si>
  <si>
    <t xml:space="preserve">127</t>
  </si>
  <si>
    <t xml:space="preserve">Projectionist</t>
  </si>
  <si>
    <t xml:space="preserve">SVC-PROJ-TECH-001</t>
  </si>
  <si>
    <t xml:space="preserve">Technician-Projectionist</t>
  </si>
  <si>
    <t xml:space="preserve">128</t>
  </si>
  <si>
    <t xml:space="preserve">LED Costumes</t>
  </si>
  <si>
    <t xml:space="preserve">LED-COSTUME-001</t>
  </si>
  <si>
    <t xml:space="preserve">Apparel</t>
  </si>
  <si>
    <t xml:space="preserve">LED-Costumes</t>
  </si>
  <si>
    <t xml:space="preserve">129</t>
  </si>
  <si>
    <t xml:space="preserve">Drone Air Soccer</t>
  </si>
  <si>
    <t xml:space="preserve">DRN-AIR-SOC-001</t>
  </si>
  <si>
    <t xml:space="preserve">Soccer</t>
  </si>
  <si>
    <t xml:space="preserve">130</t>
  </si>
  <si>
    <t xml:space="preserve">LED Screens</t>
  </si>
  <si>
    <t xml:space="preserve">LED-SCREEN-001</t>
  </si>
  <si>
    <t xml:space="preserve">131</t>
  </si>
  <si>
    <t xml:space="preserve">Projection Mapping</t>
  </si>
  <si>
    <t xml:space="preserve">PRO-MAP-001</t>
  </si>
  <si>
    <t xml:space="preserve">132</t>
  </si>
  <si>
    <t xml:space="preserve">Inflatable Metallic Spheres</t>
  </si>
  <si>
    <t xml:space="preserve">SPH-METALLIC-001</t>
  </si>
  <si>
    <t xml:space="preserve">Inflatable-Metalic</t>
  </si>
  <si>
    <t xml:space="preserve">133</t>
  </si>
  <si>
    <t xml:space="preserve">Water Mist Screens</t>
  </si>
  <si>
    <t xml:space="preserve">WTR-MIST-001</t>
  </si>
  <si>
    <t xml:space="preserve">Mist-Curtain</t>
  </si>
  <si>
    <t xml:space="preserve">134</t>
  </si>
  <si>
    <t xml:space="preserve">AI DJ - Digital Animation Character</t>
  </si>
  <si>
    <t xml:space="preserve">AI-DJ-001</t>
  </si>
  <si>
    <t xml:space="preserve">AI</t>
  </si>
  <si>
    <t xml:space="preserve">DJ</t>
  </si>
  <si>
    <t xml:space="preserve">135</t>
  </si>
  <si>
    <t xml:space="preserve">Kinetic Lighting &amp; Mechanical Effects</t>
  </si>
  <si>
    <t xml:space="preserve">PRO-KINETIC-001</t>
  </si>
  <si>
    <t xml:space="preserve">Kinetic</t>
  </si>
  <si>
    <t xml:space="preserve">136</t>
  </si>
  <si>
    <t xml:space="preserve">Programming Standard for Wristbands&amp; Lanyards</t>
  </si>
  <si>
    <t xml:space="preserve">SVC-PGM-WB-LY-001</t>
  </si>
  <si>
    <t xml:space="preserve">Programming</t>
  </si>
  <si>
    <t xml:space="preserve">181</t>
  </si>
  <si>
    <t xml:space="preserve">Programming Mid-Level for Wristbands&amp; Lanyards</t>
  </si>
  <si>
    <t xml:space="preserve">SVC-PGM-WB-LY-002</t>
  </si>
  <si>
    <t xml:space="preserve">182</t>
  </si>
  <si>
    <t xml:space="preserve">6000</t>
  </si>
  <si>
    <t xml:space="preserve">Programming Advanced for Wristbands&amp; Lanyards</t>
  </si>
  <si>
    <t xml:space="preserve">SVC-PGM-WB-LY-003</t>
  </si>
  <si>
    <t xml:space="preserve">183</t>
  </si>
  <si>
    <t xml:space="preserve">12000</t>
  </si>
  <si>
    <t xml:space="preserve">TLC 4-Led Wristband-NOButton</t>
  </si>
  <si>
    <t xml:space="preserve">LED-WBT-4LED-002</t>
  </si>
  <si>
    <t xml:space="preserve">185</t>
  </si>
  <si>
    <t xml:space="preserve">Controller-TLC-305-Pixel-Orbs&amp;Modules</t>
  </si>
  <si>
    <t xml:space="preserve">LED-WBT-TX305-001</t>
  </si>
  <si>
    <t xml:space="preserve">Controller-TLC</t>
  </si>
  <si>
    <t xml:space="preserve">186</t>
  </si>
  <si>
    <t xml:space="preserve">Controller-TLC-306-Pixel-Wristbands&amp;Lanyards</t>
  </si>
  <si>
    <t xml:space="preserve">LED-WBT-TX306-001</t>
  </si>
  <si>
    <t xml:space="preserve">188</t>
  </si>
  <si>
    <t xml:space="preserve">Controller-TLC-158-Zone-2LED</t>
  </si>
  <si>
    <t xml:space="preserve">LED-WBT-TX158-001</t>
  </si>
  <si>
    <t xml:space="preserve">190</t>
  </si>
  <si>
    <t xml:space="preserve">Xylo 12-Led Wristband</t>
  </si>
  <si>
    <t xml:space="preserve">LED-WBX-MK5-001</t>
  </si>
  <si>
    <t xml:space="preserve">191</t>
  </si>
  <si>
    <t xml:space="preserve">FV-6FT-180 Fan Holographic</t>
  </si>
  <si>
    <t xml:space="preserve">HG-FVV-180-001</t>
  </si>
  <si>
    <t xml:space="preserve">192</t>
  </si>
  <si>
    <t xml:space="preserve">FV-5FT-150 Fan Holographic</t>
  </si>
  <si>
    <t xml:space="preserve">HG-FVV-150-001</t>
  </si>
  <si>
    <t xml:space="preserve">193</t>
  </si>
  <si>
    <t xml:space="preserve">4000</t>
  </si>
  <si>
    <t xml:space="preserve">FV-40in-100 Fan Holographic</t>
  </si>
  <si>
    <t xml:space="preserve">HG-FVV-100-001</t>
  </si>
  <si>
    <t xml:space="preserve">194</t>
  </si>
  <si>
    <t xml:space="preserve">LED Glow Balls-60CM-DMX-Built-in</t>
  </si>
  <si>
    <t xml:space="preserve">LED-GLOBAL-011</t>
  </si>
  <si>
    <t xml:space="preserve">196</t>
  </si>
  <si>
    <t xml:space="preserve">LED Glow Balls-60CM</t>
  </si>
  <si>
    <t xml:space="preserve">LED-GLOBAL-013</t>
  </si>
  <si>
    <t xml:space="preserve">197</t>
  </si>
  <si>
    <t xml:space="preserve">Robotics-FLO</t>
  </si>
  <si>
    <t xml:space="preserve">ROB-FLO-001</t>
  </si>
  <si>
    <t xml:space="preserve">Character</t>
  </si>
  <si>
    <t xml:space="preserve">198</t>
  </si>
  <si>
    <t xml:space="preserve">LED Glows Balls-40CM</t>
  </si>
  <si>
    <t xml:space="preserve">LED-GLOBAL-012</t>
  </si>
  <si>
    <t xml:space="preserve">HoloPod-20</t>
  </si>
  <si>
    <t xml:space="preserve">HG-HP-20-001</t>
  </si>
  <si>
    <t xml:space="preserve">413</t>
  </si>
  <si>
    <t xml:space="preserve">LED Glow Balls-90CM</t>
  </si>
  <si>
    <t xml:space="preserve">LED-GLOBAL-014</t>
  </si>
  <si>
    <t xml:space="preserve">409</t>
  </si>
  <si>
    <t xml:space="preserve">LED Glow Balls-DMX Transmitter</t>
  </si>
  <si>
    <t xml:space="preserve">LED-GLOTX-10</t>
  </si>
  <si>
    <t xml:space="preserve">415</t>
  </si>
  <si>
    <t xml:space="preserve">Laser 40Watt</t>
  </si>
  <si>
    <t xml:space="preserve">LSR-40W-001</t>
  </si>
  <si>
    <t xml:space="preserve">40Watt</t>
  </si>
  <si>
    <t xml:space="preserve">411</t>
  </si>
  <si>
    <t xml:space="preserve">01-Draft Quote-Instructions (delete before sending quote)</t>
  </si>
  <si>
    <t xml:space="preserve">QTE-DRFT-ITM</t>
  </si>
  <si>
    <t xml:space="preserve">Finance</t>
  </si>
  <si>
    <t xml:space="preserve">DraftQuote</t>
  </si>
  <si>
    <t xml:space="preserve">417</t>
  </si>
  <si>
    <t xml:space="preserve">LED Ai Interactive Wall - Hardware/Labor - Package</t>
  </si>
  <si>
    <t xml:space="preserve">AI-LED-HW</t>
  </si>
  <si>
    <t xml:space="preserve">Wall-Interactive</t>
  </si>
  <si>
    <t xml:space="preserve">419</t>
  </si>
  <si>
    <t xml:space="preserve">999</t>
  </si>
  <si>
    <t xml:space="preserve">LED Ai Interactive Wall - Software/Touchscreen - Package</t>
  </si>
  <si>
    <t xml:space="preserve">AI-LED-SW</t>
  </si>
  <si>
    <t xml:space="preserve">420</t>
  </si>
  <si>
    <t xml:space="preserve">LED Ai Interactive Wall - Technician Labor - Day Rate for 3 people</t>
  </si>
  <si>
    <t xml:space="preserve">AI-LED-TEC</t>
  </si>
  <si>
    <t xml:space="preserve">421</t>
  </si>
  <si>
    <t xml:space="preserve">Silent Storm Confetti Blowers - SS</t>
  </si>
  <si>
    <t xml:space="preserve">CNF-BLW-SS</t>
  </si>
  <si>
    <t xml:space="preserve">Blowers</t>
  </si>
  <si>
    <t xml:space="preserve">423</t>
  </si>
  <si>
    <t xml:space="preserve">Attendee Behavioural Data Analysis Capture</t>
  </si>
  <si>
    <t xml:space="preserve">DAT-BEH-ANA</t>
  </si>
  <si>
    <t xml:space="preserve">Data</t>
  </si>
  <si>
    <t xml:space="preserve">Behavioural</t>
  </si>
  <si>
    <t xml:space="preserve">425</t>
  </si>
  <si>
    <t xml:space="preserve">5999</t>
  </si>
  <si>
    <t xml:space="preserve">Equipment Damage</t>
  </si>
  <si>
    <t xml:space="preserve">EQP-RPR-DMG</t>
  </si>
  <si>
    <t xml:space="preserve">Damage</t>
  </si>
  <si>
    <t xml:space="preserve">426</t>
  </si>
  <si>
    <t xml:space="preserve">ACH PAYMENT INFORMATION</t>
  </si>
  <si>
    <t xml:space="preserve">FIN-ACH-DOM</t>
  </si>
  <si>
    <t xml:space="preserve">ACH</t>
  </si>
  <si>
    <t xml:space="preserve">427</t>
  </si>
  <si>
    <t xml:space="preserve">0</t>
  </si>
  <si>
    <t xml:space="preserve">90-day Warranty</t>
  </si>
  <si>
    <t xml:space="preserve">FIN-WAR-90D</t>
  </si>
  <si>
    <t xml:space="preserve">Warranty</t>
  </si>
  <si>
    <t xml:space="preserve">428</t>
  </si>
  <si>
    <t xml:space="preserve">Financial-1-Year Extended Warranty</t>
  </si>
  <si>
    <t xml:space="preserve">FIN-WAR-1YR</t>
  </si>
  <si>
    <t xml:space="preserve">429</t>
  </si>
  <si>
    <t xml:space="preserve">Non-Recoverable Costs Due to Postponement</t>
  </si>
  <si>
    <t xml:space="preserve">FIN-PST-PON</t>
  </si>
  <si>
    <t xml:space="preserve">Postponement</t>
  </si>
  <si>
    <t xml:space="preserve">430</t>
  </si>
  <si>
    <t xml:space="preserve">Financial-Monthly Service Overage Payment Schedule</t>
  </si>
  <si>
    <t xml:space="preserve">FIN-MTH-FEE</t>
  </si>
  <si>
    <t xml:space="preserve">Monthly Fee</t>
  </si>
  <si>
    <t xml:space="preserve">431</t>
  </si>
  <si>
    <t xml:space="preserve">Champagne Bottle -EZ break material.</t>
  </si>
  <si>
    <t xml:space="preserve">FX-BOT-CHP</t>
  </si>
  <si>
    <t xml:space="preserve">Bottle</t>
  </si>
  <si>
    <t xml:space="preserve">432</t>
  </si>
  <si>
    <t xml:space="preserve">299</t>
  </si>
  <si>
    <t xml:space="preserve">Confetti Blower Rental (TBD)</t>
  </si>
  <si>
    <t xml:space="preserve">CNF-BLW-001</t>
  </si>
  <si>
    <t xml:space="preserve">433</t>
  </si>
  <si>
    <t xml:space="preserve">Fog/Mist Screen Rental &amp; Technician Services *</t>
  </si>
  <si>
    <t xml:space="preserve">FOG-MST-CRT</t>
  </si>
  <si>
    <t xml:space="preserve">Mist</t>
  </si>
  <si>
    <t xml:space="preserve">435</t>
  </si>
  <si>
    <t xml:space="preserve">CO2 Jet Repair</t>
  </si>
  <si>
    <t xml:space="preserve">SVC-RPR-CO2</t>
  </si>
  <si>
    <t xml:space="preserve">Repair</t>
  </si>
  <si>
    <t xml:space="preserve">436</t>
  </si>
  <si>
    <t xml:space="preserve">499</t>
  </si>
  <si>
    <t xml:space="preserve">Fluid Concentrate for Snow Machine</t>
  </si>
  <si>
    <t xml:space="preserve">SNO-FLD-001</t>
  </si>
  <si>
    <t xml:space="preserve">Fluid</t>
  </si>
  <si>
    <t xml:space="preserve">437</t>
  </si>
  <si>
    <t xml:space="preserve">Content Conversion and Instruction</t>
  </si>
  <si>
    <t xml:space="preserve">GPH-CNV-INST</t>
  </si>
  <si>
    <t xml:space="preserve">Grapics Conversion</t>
  </si>
  <si>
    <t xml:space="preserve">438</t>
  </si>
  <si>
    <t xml:space="preserve">799</t>
  </si>
  <si>
    <t xml:space="preserve">HST-86 Transparent 3D Hologram Display-Deposit-</t>
  </si>
  <si>
    <t xml:space="preserve">HG-HP-86-DEP</t>
  </si>
  <si>
    <t xml:space="preserve">HPORT</t>
  </si>
  <si>
    <t xml:space="preserve">439</t>
  </si>
  <si>
    <t xml:space="preserve">Fly-Pak for HoloPortal</t>
  </si>
  <si>
    <t xml:space="preserve">HG-HP-FPAK</t>
  </si>
  <si>
    <t xml:space="preserve">Fly-Pak</t>
  </si>
  <si>
    <t xml:space="preserve">440</t>
  </si>
  <si>
    <t xml:space="preserve">HST-20 Holobox - Rental</t>
  </si>
  <si>
    <t xml:space="preserve">HG-HP-20-BUY</t>
  </si>
  <si>
    <t xml:space="preserve">HPOD</t>
  </si>
  <si>
    <t xml:space="preserve">441</t>
  </si>
  <si>
    <t xml:space="preserve">1999</t>
  </si>
  <si>
    <t xml:space="preserve">HST-30 Holobox - Rental</t>
  </si>
  <si>
    <t xml:space="preserve">HG-HP-30-BUY</t>
  </si>
  <si>
    <t xml:space="preserve">442</t>
  </si>
  <si>
    <t xml:space="preserve">2999</t>
  </si>
  <si>
    <t xml:space="preserve">HST-86 Holobox - Rental</t>
  </si>
  <si>
    <t xml:space="preserve">HG-HP-86-BUY</t>
  </si>
  <si>
    <t xml:space="preserve">443</t>
  </si>
  <si>
    <t xml:space="preserve">8999</t>
  </si>
  <si>
    <t xml:space="preserve">HST-20 Holobox (HS&amp;T 100% Ownership)</t>
  </si>
  <si>
    <t xml:space="preserve">HG-HP-20</t>
  </si>
  <si>
    <t xml:space="preserve">444</t>
  </si>
  <si>
    <t xml:space="preserve">HST-30 Holobox (HS&amp;T 100% Ownership)</t>
  </si>
  <si>
    <t xml:space="preserve">HG-HP-30</t>
  </si>
  <si>
    <t xml:space="preserve">445</t>
  </si>
  <si>
    <t xml:space="preserve">699</t>
  </si>
  <si>
    <t xml:space="preserve">HST-86 Holobox (Ownership 50% HS&amp;T and TLC)</t>
  </si>
  <si>
    <t xml:space="preserve">HG-HP-86</t>
  </si>
  <si>
    <t xml:space="preserve">446</t>
  </si>
  <si>
    <t xml:space="preserve">Holoportal &amp; Pod - Holographic Display Technical Support</t>
  </si>
  <si>
    <t xml:space="preserve">SVC-HP-SUP</t>
  </si>
  <si>
    <t xml:space="preserve">447</t>
  </si>
  <si>
    <t xml:space="preserve">Holographic Slot Machine All-in Package (Graphics not included)</t>
  </si>
  <si>
    <t xml:space="preserve">HG-SLT-MCH</t>
  </si>
  <si>
    <t xml:space="preserve">Slotmachine</t>
  </si>
  <si>
    <t xml:space="preserve">448</t>
  </si>
  <si>
    <t xml:space="preserve">19999</t>
  </si>
  <si>
    <t xml:space="preserve">Half Day Shoot in Studio</t>
  </si>
  <si>
    <t xml:space="preserve">STU-SHT-HALF</t>
  </si>
  <si>
    <t xml:space="preserve">Studio</t>
  </si>
  <si>
    <t xml:space="preserve">449</t>
  </si>
  <si>
    <t xml:space="preserve">3999</t>
  </si>
  <si>
    <t xml:space="preserve">HST30 &amp; HST20 - Holographic Display Extended Warranty - One Year</t>
  </si>
  <si>
    <t xml:space="preserve">FIN-WAR-HPOD</t>
  </si>
  <si>
    <t xml:space="preserve">450</t>
  </si>
  <si>
    <t xml:space="preserve">Wrapping Services</t>
  </si>
  <si>
    <t xml:space="preserve">HG-HP-WRAP</t>
  </si>
  <si>
    <t xml:space="preserve">Wrapping</t>
  </si>
  <si>
    <t xml:space="preserve">451</t>
  </si>
  <si>
    <t xml:space="preserve">1199</t>
  </si>
  <si>
    <t xml:space="preserve">Lasers - Pangolin software system - PC</t>
  </si>
  <si>
    <t xml:space="preserve">LSR-SW-SYS</t>
  </si>
  <si>
    <t xml:space="preserve">Software</t>
  </si>
  <si>
    <t xml:space="preserve">452</t>
  </si>
  <si>
    <t xml:space="preserve">1599</t>
  </si>
  <si>
    <t xml:space="preserve">Laser programming and graphics (Standard programming)</t>
  </si>
  <si>
    <t xml:space="preserve">LSR-PGM-001</t>
  </si>
  <si>
    <t xml:space="preserve">Program</t>
  </si>
  <si>
    <t xml:space="preserve">453</t>
  </si>
  <si>
    <t xml:space="preserve">Laser Light Show Package</t>
  </si>
  <si>
    <t xml:space="preserve">LSR-SHW-001</t>
  </si>
  <si>
    <t xml:space="preserve">454</t>
  </si>
  <si>
    <t xml:space="preserve">Laser Control Systems</t>
  </si>
  <si>
    <t xml:space="preserve">LSR-CTL-SYS</t>
  </si>
  <si>
    <t xml:space="preserve">System</t>
  </si>
  <si>
    <t xml:space="preserve">455</t>
  </si>
  <si>
    <t xml:space="preserve">Custom Music Mix for Light Show</t>
  </si>
  <si>
    <t xml:space="preserve">LED-MUSIC</t>
  </si>
  <si>
    <t xml:space="preserve">LED</t>
  </si>
  <si>
    <t xml:space="preserve">Music</t>
  </si>
  <si>
    <t xml:space="preserve">456</t>
  </si>
  <si>
    <t xml:space="preserve">Graphics for LED Signage Estimate</t>
  </si>
  <si>
    <t xml:space="preserve">LED-SGN</t>
  </si>
  <si>
    <t xml:space="preserve">Signage</t>
  </si>
  <si>
    <t xml:space="preserve">457</t>
  </si>
  <si>
    <t xml:space="preserve">LED Wall</t>
  </si>
  <si>
    <t xml:space="preserve">LED-WAL</t>
  </si>
  <si>
    <t xml:space="preserve">Wall</t>
  </si>
  <si>
    <t xml:space="preserve">458</t>
  </si>
  <si>
    <t xml:space="preserve">Image Processing (Estimate based on Range $5000-$15000)</t>
  </si>
  <si>
    <t xml:space="preserve">PRO-MS-001</t>
  </si>
  <si>
    <t xml:space="preserve">MediaServer</t>
  </si>
  <si>
    <t xml:space="preserve">459</t>
  </si>
  <si>
    <t xml:space="preserve">Image Processing -Second Media Server</t>
  </si>
  <si>
    <t xml:space="preserve">PRO-MS-002</t>
  </si>
  <si>
    <t xml:space="preserve">460</t>
  </si>
  <si>
    <t xml:space="preserve">Media Design and Program</t>
  </si>
  <si>
    <t xml:space="preserve">PRO-MS-DSN</t>
  </si>
  <si>
    <t xml:space="preserve">461</t>
  </si>
  <si>
    <t xml:space="preserve">Projector Management &amp; Content Conversion</t>
  </si>
  <si>
    <t xml:space="preserve">PRO-CNT-CNV</t>
  </si>
  <si>
    <t xml:space="preserve">Content</t>
  </si>
  <si>
    <t xml:space="preserve">462</t>
  </si>
  <si>
    <t xml:space="preserve">Projection-inflatable screen</t>
  </si>
  <si>
    <t xml:space="preserve">PRO-SCR-INF</t>
  </si>
  <si>
    <t xml:space="preserve">Inflatable Screen</t>
  </si>
  <si>
    <t xml:space="preserve">463</t>
  </si>
  <si>
    <t xml:space="preserve">Projectionist / Logistics / Expenses</t>
  </si>
  <si>
    <t xml:space="preserve">PRO-PKG</t>
  </si>
  <si>
    <t xml:space="preserve">Package</t>
  </si>
  <si>
    <t xml:space="preserve">464</t>
  </si>
  <si>
    <t xml:space="preserve">Pool Projection</t>
  </si>
  <si>
    <t xml:space="preserve">PRO-POOL</t>
  </si>
  <si>
    <t xml:space="preserve">Pool</t>
  </si>
  <si>
    <t xml:space="preserve">465</t>
  </si>
  <si>
    <t xml:space="preserve">Water Screen-10 Feet Modules</t>
  </si>
  <si>
    <t xml:space="preserve">PRO-WAT-10ft</t>
  </si>
  <si>
    <t xml:space="preserve">Water Modules</t>
  </si>
  <si>
    <t xml:space="preserve">466</t>
  </si>
  <si>
    <t xml:space="preserve">Pyro effects - Estimate</t>
  </si>
  <si>
    <t xml:space="preserve">PYR-EFF-EST</t>
  </si>
  <si>
    <t xml:space="preserve">Effects</t>
  </si>
  <si>
    <t xml:space="preserve">467</t>
  </si>
  <si>
    <t xml:space="preserve">Gender Reveal Package</t>
  </si>
  <si>
    <t xml:space="preserve">RVL-GNDR-001</t>
  </si>
  <si>
    <t xml:space="preserve">Gender</t>
  </si>
  <si>
    <t xml:space="preserve">468</t>
  </si>
  <si>
    <t xml:space="preserve">RFID System for Object Scanning and Video Playback</t>
  </si>
  <si>
    <t xml:space="preserve">RFID-SYS-001</t>
  </si>
  <si>
    <t xml:space="preserve">RFID</t>
  </si>
  <si>
    <t xml:space="preserve">469</t>
  </si>
  <si>
    <t xml:space="preserve">TRON Robot Rental</t>
  </si>
  <si>
    <t xml:space="preserve">ROB-TRON</t>
  </si>
  <si>
    <t xml:space="preserve">2-Wheel</t>
  </si>
  <si>
    <t xml:space="preserve">470</t>
  </si>
  <si>
    <t xml:space="preserve">WBT‬ Walle Bot (Tall)</t>
  </si>
  <si>
    <t xml:space="preserve">ROB-WAL-TAL</t>
  </si>
  <si>
    <t xml:space="preserve">471</t>
  </si>
  <si>
    <t xml:space="preserve">Custom Cups - Cost to be determined</t>
  </si>
  <si>
    <t xml:space="preserve">ROB-CUP-CUS</t>
  </si>
  <si>
    <t xml:space="preserve">Bartender</t>
  </si>
  <si>
    <t xml:space="preserve">472</t>
  </si>
  <si>
    <t xml:space="preserve">199</t>
  </si>
  <si>
    <t xml:space="preserve">Mixmaster I Robot Bartender Activation</t>
  </si>
  <si>
    <t xml:space="preserve">ROB-MM1-001</t>
  </si>
  <si>
    <t xml:space="preserve">473</t>
  </si>
  <si>
    <t xml:space="preserve">15999</t>
  </si>
  <si>
    <t xml:space="preserve">Mixmaster II Robot Bartender Activation</t>
  </si>
  <si>
    <t xml:space="preserve">ROB-MM2-001</t>
  </si>
  <si>
    <t xml:space="preserve">474</t>
  </si>
  <si>
    <t xml:space="preserve">Robot Dog Branding</t>
  </si>
  <si>
    <t xml:space="preserve">ROB-DOG-BRND</t>
  </si>
  <si>
    <t xml:space="preserve">475</t>
  </si>
  <si>
    <t xml:space="preserve">Robot Dog Cart/Wagon</t>
  </si>
  <si>
    <t xml:space="preserve">ROB-DOG-CART</t>
  </si>
  <si>
    <t xml:space="preserve">Cart</t>
  </si>
  <si>
    <t xml:space="preserve">476</t>
  </si>
  <si>
    <t xml:space="preserve">Wagon/cart branding</t>
  </si>
  <si>
    <t xml:space="preserve">ROB-CART-BRND</t>
  </si>
  <si>
    <t xml:space="preserve">477</t>
  </si>
  <si>
    <t xml:space="preserve">Robotic Draw</t>
  </si>
  <si>
    <t xml:space="preserve">ROB-DRAW-001</t>
  </si>
  <si>
    <t xml:space="preserve">Draw</t>
  </si>
  <si>
    <t xml:space="preserve">478</t>
  </si>
  <si>
    <t xml:space="preserve">Robotic Chess</t>
  </si>
  <si>
    <t xml:space="preserve">ROB-CHESS-001</t>
  </si>
  <si>
    <t xml:space="preserve">Chess</t>
  </si>
  <si>
    <t xml:space="preserve">481</t>
  </si>
  <si>
    <t xml:space="preserve">Dual iPad on back of robot dog</t>
  </si>
  <si>
    <t xml:space="preserve">ROB-DOG-IPAD</t>
  </si>
  <si>
    <t xml:space="preserve">482</t>
  </si>
  <si>
    <t xml:space="preserve">R Dog Ai with ai Lidar</t>
  </si>
  <si>
    <t xml:space="preserve">ROB-DOG2-001</t>
  </si>
  <si>
    <t xml:space="preserve">483</t>
  </si>
  <si>
    <t xml:space="preserve">Robot Fleet</t>
  </si>
  <si>
    <t xml:space="preserve">ROB-FLEET</t>
  </si>
  <si>
    <t xml:space="preserve">Fleet</t>
  </si>
  <si>
    <t xml:space="preserve">484</t>
  </si>
  <si>
    <t xml:space="preserve">Robot - Thing Robot Hand</t>
  </si>
  <si>
    <t xml:space="preserve">ROB-HAND</t>
  </si>
  <si>
    <t xml:space="preserve">Hand-Thing</t>
  </si>
  <si>
    <t xml:space="preserve">485</t>
  </si>
  <si>
    <t xml:space="preserve">Robot Handler</t>
  </si>
  <si>
    <t xml:space="preserve">SVC-ROB-HDLR</t>
  </si>
  <si>
    <t xml:space="preserve">Handler</t>
  </si>
  <si>
    <t xml:space="preserve">859</t>
  </si>
  <si>
    <t xml:space="preserve">1200</t>
  </si>
  <si>
    <t xml:space="preserve">AI-Large Language Models (LLMs)</t>
  </si>
  <si>
    <t xml:space="preserve">ROB-LLM-001</t>
  </si>
  <si>
    <t xml:space="preserve">LLM</t>
  </si>
  <si>
    <t xml:space="preserve">487</t>
  </si>
  <si>
    <t xml:space="preserve">Voice Prompt System</t>
  </si>
  <si>
    <t xml:space="preserve">ROB-LLM-VCE</t>
  </si>
  <si>
    <t xml:space="preserve">488</t>
  </si>
  <si>
    <t xml:space="preserve">599</t>
  </si>
  <si>
    <t xml:space="preserve">AI Robotics Bulk Package</t>
  </si>
  <si>
    <t xml:space="preserve">ROB-PACK-001</t>
  </si>
  <si>
    <t xml:space="preserve">489</t>
  </si>
  <si>
    <t xml:space="preserve">Robotics Event Technology Package</t>
  </si>
  <si>
    <t xml:space="preserve">ROB-PKG</t>
  </si>
  <si>
    <t xml:space="preserve">490</t>
  </si>
  <si>
    <t xml:space="preserve">Power Banks for Robotics</t>
  </si>
  <si>
    <t xml:space="preserve">ROB-PWR-001</t>
  </si>
  <si>
    <t xml:space="preserve">PowerBank</t>
  </si>
  <si>
    <t xml:space="preserve">491</t>
  </si>
  <si>
    <t xml:space="preserve">Plexi Glass Holder</t>
  </si>
  <si>
    <t xml:space="preserve">ROB-ARM-PLX</t>
  </si>
  <si>
    <t xml:space="preserve">Server</t>
  </si>
  <si>
    <t xml:space="preserve">492</t>
  </si>
  <si>
    <t xml:space="preserve">Robot Supervisors</t>
  </si>
  <si>
    <t xml:space="preserve">SVC-ROB-SUP</t>
  </si>
  <si>
    <t xml:space="preserve">Supervisor</t>
  </si>
  <si>
    <t xml:space="preserve">493</t>
  </si>
  <si>
    <t xml:space="preserve">Robot Programming Tech</t>
  </si>
  <si>
    <t xml:space="preserve">SVC-ROB-TECH</t>
  </si>
  <si>
    <t xml:space="preserve">Technician</t>
  </si>
  <si>
    <t xml:space="preserve">494</t>
  </si>
  <si>
    <t xml:space="preserve">AI Character Robot Tray</t>
  </si>
  <si>
    <t xml:space="preserve">ROB-TRY-001</t>
  </si>
  <si>
    <t xml:space="preserve">495</t>
  </si>
  <si>
    <t xml:space="preserve">Branding for Robot Bartender ADAM</t>
  </si>
  <si>
    <t xml:space="preserve">ROB-MM2-BRND</t>
  </si>
  <si>
    <t xml:space="preserve">497</t>
  </si>
  <si>
    <t xml:space="preserve">HRAi (Henry)‬‭ Humanoid Robot w/Ai‬</t>
  </si>
  <si>
    <t xml:space="preserve">ROB-HENRY-001</t>
  </si>
  <si>
    <t xml:space="preserve">Henry</t>
  </si>
  <si>
    <t xml:space="preserve">498</t>
  </si>
  <si>
    <t xml:space="preserve">4999</t>
  </si>
  <si>
    <t xml:space="preserve">Ship-Transparent Holographic Display Purchase</t>
  </si>
  <si>
    <t xml:space="preserve">SHP-HP-86-BUY</t>
  </si>
  <si>
    <t xml:space="preserve">Shipping</t>
  </si>
  <si>
    <t xml:space="preserve">Liftgate Pick-up</t>
  </si>
  <si>
    <t xml:space="preserve">SHP-LFT-FEE</t>
  </si>
  <si>
    <t xml:space="preserve">Transport</t>
  </si>
  <si>
    <t xml:space="preserve">After Hours Liftgate Pick-up</t>
  </si>
  <si>
    <t xml:space="preserve">SHP-LFT-LATE</t>
  </si>
  <si>
    <t xml:space="preserve">501</t>
  </si>
  <si>
    <t xml:space="preserve">Handling Charges</t>
  </si>
  <si>
    <t xml:space="preserve">SHP-HND-001</t>
  </si>
  <si>
    <t xml:space="preserve">Handling</t>
  </si>
  <si>
    <t xml:space="preserve">502</t>
  </si>
  <si>
    <t xml:space="preserve">400</t>
  </si>
  <si>
    <t xml:space="preserve">Shipping &amp; Handling</t>
  </si>
  <si>
    <t xml:space="preserve">SHP-S&amp;H-001</t>
  </si>
  <si>
    <t xml:space="preserve">503</t>
  </si>
  <si>
    <t xml:space="preserve">Ship - Return Shipping</t>
  </si>
  <si>
    <t xml:space="preserve">SHP-RTN-001</t>
  </si>
  <si>
    <t xml:space="preserve">504</t>
  </si>
  <si>
    <t xml:space="preserve">Road Case for HST-84</t>
  </si>
  <si>
    <t xml:space="preserve">SHP-CASE-86</t>
  </si>
  <si>
    <t xml:space="preserve">Roadcase</t>
  </si>
  <si>
    <t xml:space="preserve">505</t>
  </si>
  <si>
    <t xml:space="preserve">Ship - Outbound Shipping</t>
  </si>
  <si>
    <t xml:space="preserve">SHP-OUT-001</t>
  </si>
  <si>
    <t xml:space="preserve">506</t>
  </si>
  <si>
    <t xml:space="preserve">Storage Fee for Late Pickup</t>
  </si>
  <si>
    <t xml:space="preserve">SHP-STO-LTE</t>
  </si>
  <si>
    <t xml:space="preserve">Storage</t>
  </si>
  <si>
    <t xml:space="preserve">507</t>
  </si>
  <si>
    <t xml:space="preserve">Trucking - Estimated Cost</t>
  </si>
  <si>
    <t xml:space="preserve">SHP-EST-001</t>
  </si>
  <si>
    <t xml:space="preserve">767</t>
  </si>
  <si>
    <t xml:space="preserve">Customs Duty &amp; Fees</t>
  </si>
  <si>
    <t xml:space="preserve">SHP-IMP-FEE</t>
  </si>
  <si>
    <t xml:space="preserve">Import</t>
  </si>
  <si>
    <t xml:space="preserve">509</t>
  </si>
  <si>
    <t xml:space="preserve">Makeup / Prosthetic / Onsite Makeup / Rush</t>
  </si>
  <si>
    <t xml:space="preserve">STU-MU-001</t>
  </si>
  <si>
    <t xml:space="preserve">Makeup</t>
  </si>
  <si>
    <t xml:space="preserve">510</t>
  </si>
  <si>
    <t xml:space="preserve">Labor/Technician for Setup, Test and Strike</t>
  </si>
  <si>
    <t xml:space="preserve">SVC-LAB-001</t>
  </si>
  <si>
    <t xml:space="preserve">Labor</t>
  </si>
  <si>
    <t xml:space="preserve">511</t>
  </si>
  <si>
    <t xml:space="preserve">Labor-FX Special effects</t>
  </si>
  <si>
    <t xml:space="preserve">SVC-LAB-FX</t>
  </si>
  <si>
    <t xml:space="preserve">Labor-FX</t>
  </si>
  <si>
    <t xml:space="preserve">512</t>
  </si>
  <si>
    <t xml:space="preserve">Labor-Transparent Holographic Display</t>
  </si>
  <si>
    <t xml:space="preserve">SVC-LAB-HP</t>
  </si>
  <si>
    <t xml:space="preserve">Labor-HP</t>
  </si>
  <si>
    <t xml:space="preserve">513</t>
  </si>
  <si>
    <t xml:space="preserve">Labor Overtime &amp; Per-Diem</t>
  </si>
  <si>
    <t xml:space="preserve">SVC-LAB-OVR</t>
  </si>
  <si>
    <t xml:space="preserve">Overtime</t>
  </si>
  <si>
    <t xml:space="preserve">514</t>
  </si>
  <si>
    <t xml:space="preserve">Labor-Wristband/Landyards</t>
  </si>
  <si>
    <t xml:space="preserve">SVC-LAB-WBL</t>
  </si>
  <si>
    <t xml:space="preserve">WB/LAN</t>
  </si>
  <si>
    <t xml:space="preserve">515</t>
  </si>
  <si>
    <t xml:space="preserve">Second Technician Option</t>
  </si>
  <si>
    <t xml:space="preserve">SVC-TEC-002</t>
  </si>
  <si>
    <t xml:space="preserve">766</t>
  </si>
  <si>
    <t xml:space="preserve">Technical Consultation Services</t>
  </si>
  <si>
    <t xml:space="preserve">SVC-CON-001</t>
  </si>
  <si>
    <t xml:space="preserve">Consult</t>
  </si>
  <si>
    <t xml:space="preserve">517</t>
  </si>
  <si>
    <t xml:space="preserve">Technician - Setup Holobox</t>
  </si>
  <si>
    <t xml:space="preserve">SVC-SET-HP</t>
  </si>
  <si>
    <t xml:space="preserve">518</t>
  </si>
  <si>
    <t xml:space="preserve">RFID Technician Services</t>
  </si>
  <si>
    <t xml:space="preserve">SVC-RFID-TECH</t>
  </si>
  <si>
    <t xml:space="preserve">RFIDTech</t>
  </si>
  <si>
    <t xml:space="preserve">519</t>
  </si>
  <si>
    <t xml:space="preserve">Technician Services</t>
  </si>
  <si>
    <t xml:space="preserve">SVC-TEC-001</t>
  </si>
  <si>
    <t xml:space="preserve">Services</t>
  </si>
  <si>
    <t xml:space="preserve">520</t>
  </si>
  <si>
    <t xml:space="preserve">Scope of Technical Consultation Services</t>
  </si>
  <si>
    <t xml:space="preserve">SVC-SOW-001</t>
  </si>
  <si>
    <t xml:space="preserve">SOW</t>
  </si>
  <si>
    <t xml:space="preserve">521</t>
  </si>
  <si>
    <t xml:space="preserve">Technical Staffing</t>
  </si>
  <si>
    <t xml:space="preserve">SVC-STF-001</t>
  </si>
  <si>
    <t xml:space="preserve">Staff</t>
  </si>
  <si>
    <t xml:space="preserve">522</t>
  </si>
  <si>
    <t xml:space="preserve">Tanks - Technician Services</t>
  </si>
  <si>
    <t xml:space="preserve">SVC-TNK-TEC</t>
  </si>
  <si>
    <t xml:space="preserve">523</t>
  </si>
  <si>
    <t xml:space="preserve">T&amp;E-Baggage fees</t>
  </si>
  <si>
    <t xml:space="preserve">T&amp;E-BAG-001</t>
  </si>
  <si>
    <t xml:space="preserve">T&amp;E</t>
  </si>
  <si>
    <t xml:space="preserve">Baggage</t>
  </si>
  <si>
    <t xml:space="preserve">524</t>
  </si>
  <si>
    <t xml:space="preserve">T&amp;E - accommodations Buyout</t>
  </si>
  <si>
    <t xml:space="preserve">T&amp;E-BUY-OUT</t>
  </si>
  <si>
    <t xml:space="preserve">Buyout</t>
  </si>
  <si>
    <t xml:space="preserve">525</t>
  </si>
  <si>
    <t xml:space="preserve">T&amp;E-Flights</t>
  </si>
  <si>
    <t xml:space="preserve">T&amp;E-FLY-001</t>
  </si>
  <si>
    <t xml:space="preserve">Flights</t>
  </si>
  <si>
    <t xml:space="preserve">526</t>
  </si>
  <si>
    <t xml:space="preserve">T&amp;E-Ground transportation</t>
  </si>
  <si>
    <t xml:space="preserve">T&amp;E-GND-001</t>
  </si>
  <si>
    <t xml:space="preserve">Ground</t>
  </si>
  <si>
    <t xml:space="preserve">527</t>
  </si>
  <si>
    <t xml:space="preserve">T&amp;E-Meals</t>
  </si>
  <si>
    <t xml:space="preserve">T&amp;E-MLS-001</t>
  </si>
  <si>
    <t xml:space="preserve">Meals</t>
  </si>
  <si>
    <t xml:space="preserve">528</t>
  </si>
  <si>
    <t xml:space="preserve">T&amp;E-Parking</t>
  </si>
  <si>
    <t xml:space="preserve">T&amp;E-PRK-001</t>
  </si>
  <si>
    <t xml:space="preserve">Parking</t>
  </si>
  <si>
    <t xml:space="preserve">529</t>
  </si>
  <si>
    <t xml:space="preserve">T&amp;E-Per Diem</t>
  </si>
  <si>
    <t xml:space="preserve">T&amp;E-PER-DIM</t>
  </si>
  <si>
    <t xml:space="preserve">PerDiem</t>
  </si>
  <si>
    <t xml:space="preserve">530</t>
  </si>
  <si>
    <t xml:space="preserve">95</t>
  </si>
  <si>
    <t xml:space="preserve">T&amp;E-Rooms</t>
  </si>
  <si>
    <t xml:space="preserve">T&amp;E-RMS-001</t>
  </si>
  <si>
    <t xml:space="preserve">Rooms</t>
  </si>
  <si>
    <t xml:space="preserve">531</t>
  </si>
  <si>
    <t xml:space="preserve">Tanks - Dewar CO2 - New Footprint</t>
  </si>
  <si>
    <t xml:space="preserve">TNK-DEW-230</t>
  </si>
  <si>
    <t xml:space="preserve">532</t>
  </si>
  <si>
    <t xml:space="preserve">Tanks - Dewar Tall</t>
  </si>
  <si>
    <t xml:space="preserve">TNK-DEW-180</t>
  </si>
  <si>
    <t xml:space="preserve">533</t>
  </si>
  <si>
    <t xml:space="preserve">Tanks - Force Majure</t>
  </si>
  <si>
    <t xml:space="preserve">TNK-DEL-001</t>
  </si>
  <si>
    <t xml:space="preserve">534</t>
  </si>
  <si>
    <t xml:space="preserve">350</t>
  </si>
  <si>
    <t xml:space="preserve">Tanks - Last Minute Order</t>
  </si>
  <si>
    <t xml:space="preserve">TNK-RSH-FEE</t>
  </si>
  <si>
    <t xml:space="preserve">Fee</t>
  </si>
  <si>
    <t xml:space="preserve">535</t>
  </si>
  <si>
    <t xml:space="preserve">Tanks - Rental Fee</t>
  </si>
  <si>
    <t xml:space="preserve">TNK-RNT-FEE</t>
  </si>
  <si>
    <t xml:space="preserve">536</t>
  </si>
  <si>
    <t xml:space="preserve">Tanks - Service Fee</t>
  </si>
  <si>
    <t xml:space="preserve">TNK-SVC-FEE</t>
  </si>
  <si>
    <t xml:space="preserve">537</t>
  </si>
  <si>
    <t xml:space="preserve">Tanks - Helium</t>
  </si>
  <si>
    <t xml:space="preserve">TNK-HEL-291</t>
  </si>
  <si>
    <t xml:space="preserve">Helium</t>
  </si>
  <si>
    <t xml:space="preserve">538</t>
  </si>
  <si>
    <t xml:space="preserve">Tanks - Hose Repair</t>
  </si>
  <si>
    <t xml:space="preserve">TNK-RPR-CO2</t>
  </si>
  <si>
    <t xml:space="preserve">539</t>
  </si>
  <si>
    <t xml:space="preserve">Weekend Service and Hose Repair</t>
  </si>
  <si>
    <t xml:space="preserve">TNK-RPR-EMG</t>
  </si>
  <si>
    <t xml:space="preserve">540</t>
  </si>
  <si>
    <t xml:space="preserve">Projection Water System/Screen (PWS)</t>
  </si>
  <si>
    <t xml:space="preserve">WTR-PWS-001</t>
  </si>
  <si>
    <t xml:space="preserve">PWS</t>
  </si>
  <si>
    <t xml:space="preserve">541</t>
  </si>
  <si>
    <t xml:space="preserve">Catch/Recirculating Basins - Non Stainless</t>
  </si>
  <si>
    <t xml:space="preserve">WTR-BIN-001</t>
  </si>
  <si>
    <t xml:space="preserve">542</t>
  </si>
  <si>
    <t xml:space="preserve">Silent Storm Confetti Blowers - T</t>
  </si>
  <si>
    <t xml:space="preserve">CNF-BLW-SST</t>
  </si>
  <si>
    <t xml:space="preserve">757</t>
  </si>
  <si>
    <t xml:space="preserve">1299</t>
  </si>
  <si>
    <t xml:space="preserve">Lanyard Branding Options</t>
  </si>
  <si>
    <t xml:space="preserve">LED-LAN-BRAND</t>
  </si>
  <si>
    <t xml:space="preserve">793</t>
  </si>
  <si>
    <t xml:space="preserve">CO2 high pressure lines</t>
  </si>
  <si>
    <t xml:space="preserve">CO2-HOS-001</t>
  </si>
  <si>
    <t xml:space="preserve">Hose</t>
  </si>
  <si>
    <t xml:space="preserve">795</t>
  </si>
  <si>
    <t xml:space="preserve">Balloons per package</t>
  </si>
  <si>
    <t xml:space="preserve">BAL-PKG-001</t>
  </si>
  <si>
    <t xml:space="preserve">Latex</t>
  </si>
  <si>
    <t xml:space="preserve">796</t>
  </si>
  <si>
    <t xml:space="preserve">UV/Black light</t>
  </si>
  <si>
    <t xml:space="preserve">PRO-BLK-LIT</t>
  </si>
  <si>
    <t xml:space="preserve">LED-Lights</t>
  </si>
  <si>
    <t xml:space="preserve">Ultra-Violet</t>
  </si>
  <si>
    <t xml:space="preserve">797</t>
  </si>
  <si>
    <t xml:space="preserve">Balloon drop net</t>
  </si>
  <si>
    <t xml:space="preserve">BAL-DRP-001</t>
  </si>
  <si>
    <t xml:space="preserve">798</t>
  </si>
  <si>
    <t xml:space="preserve">10ft 12" Box Truss</t>
  </si>
  <si>
    <t xml:space="preserve">EQP-TRS-B12</t>
  </si>
  <si>
    <t xml:space="preserve">Equipment</t>
  </si>
  <si>
    <t xml:space="preserve">Truss</t>
  </si>
  <si>
    <t xml:space="preserve">10ft 20" boxtruss</t>
  </si>
  <si>
    <t xml:space="preserve">EQP-TRS-B20</t>
  </si>
  <si>
    <t xml:space="preserve">800</t>
  </si>
  <si>
    <t xml:space="preserve">3 pin to 5 pin adapter</t>
  </si>
  <si>
    <t xml:space="preserve">DMX-3-5-ADP</t>
  </si>
  <si>
    <t xml:space="preserve">DMX</t>
  </si>
  <si>
    <t xml:space="preserve">801</t>
  </si>
  <si>
    <t xml:space="preserve">10</t>
  </si>
  <si>
    <t xml:space="preserve">AC Cables</t>
  </si>
  <si>
    <t xml:space="preserve">ELE-CBL-110</t>
  </si>
  <si>
    <t xml:space="preserve">802</t>
  </si>
  <si>
    <t xml:space="preserve">Balloon- 12 ft</t>
  </si>
  <si>
    <t xml:space="preserve">BAL-HEL-12F</t>
  </si>
  <si>
    <t xml:space="preserve">804</t>
  </si>
  <si>
    <t xml:space="preserve">Balloon- 8 ft</t>
  </si>
  <si>
    <t xml:space="preserve">BAL-HEL-08F</t>
  </si>
  <si>
    <t xml:space="preserve">805</t>
  </si>
  <si>
    <t xml:space="preserve">Confetti-synthetic rose petals</t>
  </si>
  <si>
    <t xml:space="preserve">CNF-ROS-PTL</t>
  </si>
  <si>
    <t xml:space="preserve">Confetti-Petals</t>
  </si>
  <si>
    <t xml:space="preserve">806</t>
  </si>
  <si>
    <t xml:space="preserve">Fan- standard</t>
  </si>
  <si>
    <t xml:space="preserve">FOG-FAN-LOW</t>
  </si>
  <si>
    <t xml:space="preserve">Fan</t>
  </si>
  <si>
    <t xml:space="preserve">807</t>
  </si>
  <si>
    <t xml:space="preserve">Fan-RE2- high volume</t>
  </si>
  <si>
    <t xml:space="preserve">FOG-FAN-RE2</t>
  </si>
  <si>
    <t xml:space="preserve">808</t>
  </si>
  <si>
    <t xml:space="preserve">Fogger up-Right</t>
  </si>
  <si>
    <t xml:space="preserve">FOG-FGR-UP</t>
  </si>
  <si>
    <t xml:space="preserve">809</t>
  </si>
  <si>
    <t xml:space="preserve">LED-lights</t>
  </si>
  <si>
    <t xml:space="preserve">LED-LGT-UP</t>
  </si>
  <si>
    <t xml:space="preserve">Uplight</t>
  </si>
  <si>
    <t xml:space="preserve">810</t>
  </si>
  <si>
    <t xml:space="preserve">NSI board</t>
  </si>
  <si>
    <t xml:space="preserve">DMX-NSI-CTL</t>
  </si>
  <si>
    <t xml:space="preserve">NSI-Board</t>
  </si>
  <si>
    <t xml:space="preserve">812</t>
  </si>
  <si>
    <t xml:space="preserve">149</t>
  </si>
  <si>
    <t xml:space="preserve">Pipe and base (10ft)</t>
  </si>
  <si>
    <t xml:space="preserve">EQP-PIP-BAS</t>
  </si>
  <si>
    <t xml:space="preserve">Pipe&amp;Base</t>
  </si>
  <si>
    <t xml:space="preserve">813</t>
  </si>
  <si>
    <t xml:space="preserve">Pop up Pockets</t>
  </si>
  <si>
    <t xml:space="preserve">FOG-POP-UP</t>
  </si>
  <si>
    <t xml:space="preserve">Pop-up</t>
  </si>
  <si>
    <t xml:space="preserve">814</t>
  </si>
  <si>
    <t xml:space="preserve">Pryo- barge rental</t>
  </si>
  <si>
    <t xml:space="preserve">PYR-BRG-001</t>
  </si>
  <si>
    <t xml:space="preserve">Barge</t>
  </si>
  <si>
    <t xml:space="preserve">815</t>
  </si>
  <si>
    <t xml:space="preserve">Pyro-Canister</t>
  </si>
  <si>
    <t xml:space="preserve">PYR-FLM-CAN</t>
  </si>
  <si>
    <t xml:space="preserve">Flame</t>
  </si>
  <si>
    <t xml:space="preserve">816</t>
  </si>
  <si>
    <t xml:space="preserve">Pyro-Canister flame generator</t>
  </si>
  <si>
    <t xml:space="preserve">PYR-FLM-GEN</t>
  </si>
  <si>
    <t xml:space="preserve">817</t>
  </si>
  <si>
    <t xml:space="preserve">Pyro-Dragon fly</t>
  </si>
  <si>
    <t xml:space="preserve">PYR-DRG-FLY</t>
  </si>
  <si>
    <t xml:space="preserve">818</t>
  </si>
  <si>
    <t xml:space="preserve">Pyro-Fire exstinquishers</t>
  </si>
  <si>
    <t xml:space="preserve">PYR-FIR-EXT</t>
  </si>
  <si>
    <t xml:space="preserve">Extinguisher</t>
  </si>
  <si>
    <t xml:space="preserve">819</t>
  </si>
  <si>
    <t xml:space="preserve">Pyro-Firefly</t>
  </si>
  <si>
    <t xml:space="preserve">PYR-FIR-FLY</t>
  </si>
  <si>
    <t xml:space="preserve">820</t>
  </si>
  <si>
    <t xml:space="preserve">Pyro-Flamable liquids</t>
  </si>
  <si>
    <t xml:space="preserve">PYR-FLM-LQD</t>
  </si>
  <si>
    <t xml:space="preserve">821</t>
  </si>
  <si>
    <t xml:space="preserve">Pyro-flame bar</t>
  </si>
  <si>
    <t xml:space="preserve">PYR-FLM-BAR</t>
  </si>
  <si>
    <t xml:space="preserve">822</t>
  </si>
  <si>
    <t xml:space="preserve">Pyro-Licensed pyrotechnician</t>
  </si>
  <si>
    <t xml:space="preserve">PYR-LIC-TEC</t>
  </si>
  <si>
    <t xml:space="preserve">823</t>
  </si>
  <si>
    <t xml:space="preserve">Pyro-permit</t>
  </si>
  <si>
    <t xml:space="preserve">PYR-PRM-001</t>
  </si>
  <si>
    <t xml:space="preserve">Permit</t>
  </si>
  <si>
    <t xml:space="preserve">824</t>
  </si>
  <si>
    <t xml:space="preserve">550</t>
  </si>
  <si>
    <t xml:space="preserve">Pyro-Propane tank</t>
  </si>
  <si>
    <t xml:space="preserve">PYR-PRO-TNK</t>
  </si>
  <si>
    <t xml:space="preserve">Propane</t>
  </si>
  <si>
    <t xml:space="preserve">825</t>
  </si>
  <si>
    <t xml:space="preserve">75</t>
  </si>
  <si>
    <t xml:space="preserve">Pyro-real fire</t>
  </si>
  <si>
    <t xml:space="preserve">PYRO-FIR-REAL</t>
  </si>
  <si>
    <t xml:space="preserve">826</t>
  </si>
  <si>
    <t xml:space="preserve">truss base plate for 12"</t>
  </si>
  <si>
    <t xml:space="preserve">EQP-TRS-P12</t>
  </si>
  <si>
    <t xml:space="preserve">827</t>
  </si>
  <si>
    <t xml:space="preserve">truss base plate for 20"</t>
  </si>
  <si>
    <t xml:space="preserve">EQP-TRS-P20</t>
  </si>
  <si>
    <t xml:space="preserve">828</t>
  </si>
  <si>
    <t xml:space="preserve">truss corner block for 12"</t>
  </si>
  <si>
    <t xml:space="preserve">EQP-TRS-C12</t>
  </si>
  <si>
    <t xml:space="preserve">829</t>
  </si>
  <si>
    <t xml:space="preserve">truss corner block for 20"</t>
  </si>
  <si>
    <t xml:space="preserve">EQP-TRS-C20</t>
  </si>
  <si>
    <t xml:space="preserve">830</t>
  </si>
  <si>
    <t xml:space="preserve">XLR cables-3pin</t>
  </si>
  <si>
    <t xml:space="preserve">DMX-XLR-3P</t>
  </si>
  <si>
    <t xml:space="preserve">831</t>
  </si>
  <si>
    <t xml:space="preserve">XLR cables-5pin</t>
  </si>
  <si>
    <t xml:space="preserve">DMX-XLR-5P</t>
  </si>
  <si>
    <t xml:space="preserve">832</t>
  </si>
  <si>
    <t xml:space="preserve">Test Service Item2</t>
  </si>
  <si>
    <t xml:space="preserve">SVC-TST-ITM2</t>
  </si>
  <si>
    <t xml:space="preserve">1188</t>
  </si>
  <si>
    <t xml:space="preserve">zz-test item</t>
  </si>
  <si>
    <t xml:space="preserve">ZZZ-BAL-LTX</t>
  </si>
  <si>
    <t xml:space="preserve">1186</t>
  </si>
  <si>
    <t xml:space="preserve">2.5</t>
  </si>
  <si>
    <t xml:space="preserve">Test Sync Item - AI Assistant</t>
  </si>
  <si>
    <t xml:space="preserve">SVC-AI-001</t>
  </si>
  <si>
    <t xml:space="preserve">1187</t>
  </si>
  <si>
    <t xml:space="preserve">99.99</t>
  </si>
  <si>
    <t xml:space="preserve">zz-test item2</t>
  </si>
  <si>
    <t xml:space="preserve">ZZZ-BAL-LT2</t>
  </si>
  <si>
    <t xml:space="preserve">1189</t>
  </si>
  <si>
    <t xml:space="preserve">zz-test item3</t>
  </si>
  <si>
    <t xml:space="preserve">ZZZ-BAL-LT3</t>
  </si>
  <si>
    <t xml:space="preserve">1190</t>
  </si>
  <si>
    <t xml:space="preserve">4.5</t>
  </si>
  <si>
    <t xml:space="preserve">zz-test item5</t>
  </si>
  <si>
    <t xml:space="preserve">ZZZ-BAL-LT5</t>
  </si>
  <si>
    <t xml:space="preserve">1193</t>
  </si>
  <si>
    <t xml:space="preserve">5.5</t>
  </si>
  <si>
    <t xml:space="preserve">zz-test item6</t>
  </si>
  <si>
    <t xml:space="preserve">ZZZ-BAL-LT6</t>
  </si>
  <si>
    <t xml:space="preserve">1194</t>
  </si>
  <si>
    <t xml:space="preserve">6.5</t>
  </si>
  <si>
    <t xml:space="preserve">zz-test item7</t>
  </si>
  <si>
    <t xml:space="preserve">ZZZ-BAL-LT7</t>
  </si>
  <si>
    <t xml:space="preserve">1197</t>
  </si>
  <si>
    <t xml:space="preserve">7.5</t>
  </si>
  <si>
    <t xml:space="preserve">zz-test item8</t>
  </si>
  <si>
    <t xml:space="preserve">ZZZ-BAL-LT8</t>
  </si>
  <si>
    <t xml:space="preserve">1198</t>
  </si>
  <si>
    <t xml:space="preserve">8.5</t>
  </si>
  <si>
    <t xml:space="preserve">zz-test item9</t>
  </si>
  <si>
    <t xml:space="preserve">ZZZ-BAL-LT9</t>
  </si>
  <si>
    <t xml:space="preserve">1201</t>
  </si>
  <si>
    <t xml:space="preserve">9.5</t>
  </si>
  <si>
    <t xml:space="preserve">zz-test item11</t>
  </si>
  <si>
    <t xml:space="preserve">ZZZ-BAL-L11</t>
  </si>
  <si>
    <t xml:space="preserve">1204</t>
  </si>
  <si>
    <t xml:space="preserve">11.5</t>
  </si>
  <si>
    <t xml:space="preserve">zz-test item12</t>
  </si>
  <si>
    <t xml:space="preserve">ZZZ-BAL-L12</t>
  </si>
  <si>
    <t xml:space="preserve">1205</t>
  </si>
  <si>
    <t xml:space="preserve">12.5</t>
  </si>
  <si>
    <t xml:space="preserve">zz-test item13</t>
  </si>
  <si>
    <t xml:space="preserve">ZZZ-BAL-L13</t>
  </si>
  <si>
    <t xml:space="preserve">1206</t>
  </si>
  <si>
    <t xml:space="preserve">13.5</t>
  </si>
  <si>
    <t xml:space="preserve">Items Export — Summary &amp; Key Analysis</t>
  </si>
  <si>
    <t xml:space="preserve">Source: export_items_20260724.csv</t>
  </si>
  <si>
    <t xml:space="preserve">Metric</t>
  </si>
  <si>
    <t xml:space="preserve">Value / Formula</t>
  </si>
  <si>
    <t xml:space="preserve">Total items</t>
  </si>
  <si>
    <t xml:space="preserve">Linked (has Supplier SKU / PD id)</t>
  </si>
  <si>
    <t xml:space="preserve">Non-numeric Supplier SKU</t>
  </si>
  <si>
    <t xml:space="preserve">Rows flagged Duplicate PD id</t>
  </si>
  <si>
    <t xml:space="preserve">Rows flagged Duplicate Code</t>
  </si>
  <si>
    <t xml:space="preserve">Codes populated (of total)</t>
  </si>
  <si>
    <t xml:space="preserve">Suppliers populated</t>
  </si>
  <si>
    <t xml:space="preserve">Match-key analysis (Quoter item ↔ Pipedrive product):</t>
  </si>
  <si>
    <t xml:space="preserve">• Supplier SKU currently holds the PD product id — but 'Supplier SKU' is a real supplier field, and it is hidden in the Quoter UI (no column, not searchable).</t>
  </si>
  <si>
    <t xml:space="preserve">• Code is 100% populated and unique except one duplicate — a strong natural key. Fix the duplicate code and 'match on Code' becomes viable, retiring the Supplier-SKU hijack.</t>
  </si>
  <si>
    <t xml:space="preserve">• Decision to make: standardize the link on Code (natural key) OR keep Supplier SKU = PD id (add validation). See QUOTER_V1_TO_V2_MIGRATION_PLAN.md.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</si>
</sst>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5.05" hidden="false" customHeight="false" outlineLevel="0" collapsed="false">
      <c r="A5" s="4" t="n">
        <v>1</v>
      </c>
      <c r="B5" s="5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5" t="s">
        <v>14</v>
      </c>
    </row>
    <row r="6" customFormat="false" ht="35.05" hidden="false" customHeight="false" outlineLevel="0" collapsed="false">
      <c r="A6" s="4" t="n">
        <v>2</v>
      </c>
      <c r="B6" s="5" t="s">
        <v>9</v>
      </c>
      <c r="C6" s="4" t="s">
        <v>15</v>
      </c>
      <c r="D6" s="4" t="s">
        <v>11</v>
      </c>
      <c r="E6" s="4" t="s">
        <v>12</v>
      </c>
      <c r="F6" s="5" t="s">
        <v>13</v>
      </c>
      <c r="G6" s="5" t="s">
        <v>14</v>
      </c>
    </row>
    <row r="7" customFormat="false" ht="23.85" hidden="false" customHeight="false" outlineLevel="0" collapsed="false">
      <c r="A7" s="4" t="n">
        <v>3</v>
      </c>
      <c r="B7" s="5" t="s">
        <v>16</v>
      </c>
      <c r="C7" s="4" t="s">
        <v>17</v>
      </c>
      <c r="D7" s="4" t="s">
        <v>18</v>
      </c>
      <c r="E7" s="4" t="s">
        <v>19</v>
      </c>
      <c r="F7" s="5" t="s">
        <v>20</v>
      </c>
      <c r="G7" s="5" t="s">
        <v>21</v>
      </c>
    </row>
    <row r="8" customFormat="false" ht="23.85" hidden="false" customHeight="false" outlineLevel="0" collapsed="false">
      <c r="A8" s="4" t="n">
        <v>4</v>
      </c>
      <c r="B8" s="5" t="s">
        <v>16</v>
      </c>
      <c r="C8" s="4" t="s">
        <v>17</v>
      </c>
      <c r="D8" s="4" t="s">
        <v>22</v>
      </c>
      <c r="E8" s="4" t="s">
        <v>19</v>
      </c>
      <c r="F8" s="5" t="s">
        <v>23</v>
      </c>
      <c r="G8" s="5" t="s">
        <v>21</v>
      </c>
    </row>
    <row r="9" customFormat="false" ht="23.85" hidden="false" customHeight="false" outlineLevel="0" collapsed="false">
      <c r="A9" s="6" t="n">
        <v>5</v>
      </c>
      <c r="B9" s="7" t="s">
        <v>24</v>
      </c>
      <c r="C9" s="6" t="s">
        <v>25</v>
      </c>
      <c r="D9" s="6" t="s">
        <v>26</v>
      </c>
      <c r="E9" s="6" t="s">
        <v>27</v>
      </c>
      <c r="F9" s="7" t="s">
        <v>13</v>
      </c>
      <c r="G9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26"/>
  </cols>
  <sheetData>
    <row r="1" customFormat="false" ht="26.85" hidden="false" customHeight="false" outlineLevel="0" collapsed="false">
      <c r="A1" s="3" t="s">
        <v>4</v>
      </c>
      <c r="B1" s="3" t="s">
        <v>5</v>
      </c>
      <c r="C1" s="3" t="s">
        <v>29</v>
      </c>
      <c r="D1" s="3" t="s">
        <v>30</v>
      </c>
      <c r="E1" s="3" t="s">
        <v>6</v>
      </c>
      <c r="F1" s="3" t="s">
        <v>31</v>
      </c>
      <c r="G1" s="3" t="s">
        <v>32</v>
      </c>
      <c r="H1" s="3" t="s">
        <v>33</v>
      </c>
      <c r="I1" s="3" t="s">
        <v>3</v>
      </c>
    </row>
    <row r="2" customFormat="false" ht="15" hidden="false" customHeight="false" outlineLevel="0" collapsed="false">
      <c r="A2" s="8" t="s">
        <v>34</v>
      </c>
      <c r="B2" s="8" t="s">
        <v>35</v>
      </c>
      <c r="C2" s="8" t="s">
        <v>36</v>
      </c>
      <c r="D2" s="8"/>
      <c r="E2" s="8" t="s">
        <v>37</v>
      </c>
      <c r="F2" s="8" t="s">
        <v>38</v>
      </c>
      <c r="G2" s="8" t="s">
        <v>39</v>
      </c>
      <c r="H2" s="8" t="s">
        <v>40</v>
      </c>
      <c r="I2" s="8"/>
    </row>
    <row r="3" customFormat="false" ht="15" hidden="false" customHeight="false" outlineLevel="0" collapsed="false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/>
      <c r="G3" s="8" t="s">
        <v>46</v>
      </c>
      <c r="H3" s="8" t="s">
        <v>47</v>
      </c>
      <c r="I3" s="8"/>
    </row>
    <row r="4" customFormat="false" ht="15" hidden="false" customHeight="false" outlineLevel="0" collapsed="false">
      <c r="A4" s="8" t="s">
        <v>48</v>
      </c>
      <c r="B4" s="8" t="s">
        <v>49</v>
      </c>
      <c r="C4" s="8" t="s">
        <v>43</v>
      </c>
      <c r="D4" s="8" t="s">
        <v>44</v>
      </c>
      <c r="E4" s="8" t="s">
        <v>50</v>
      </c>
      <c r="F4" s="8"/>
      <c r="G4" s="8" t="s">
        <v>51</v>
      </c>
      <c r="H4" s="8" t="s">
        <v>47</v>
      </c>
      <c r="I4" s="8"/>
    </row>
    <row r="5" customFormat="false" ht="15" hidden="false" customHeight="false" outlineLevel="0" collapsed="false">
      <c r="A5" s="8" t="s">
        <v>52</v>
      </c>
      <c r="B5" s="8" t="s">
        <v>53</v>
      </c>
      <c r="C5" s="8" t="s">
        <v>43</v>
      </c>
      <c r="D5" s="8" t="s">
        <v>44</v>
      </c>
      <c r="E5" s="8" t="s">
        <v>54</v>
      </c>
      <c r="F5" s="8"/>
      <c r="G5" s="8" t="s">
        <v>55</v>
      </c>
      <c r="H5" s="8" t="s">
        <v>47</v>
      </c>
      <c r="I5" s="8"/>
    </row>
    <row r="6" customFormat="false" ht="15" hidden="false" customHeight="false" outlineLevel="0" collapsed="false">
      <c r="A6" s="8" t="s">
        <v>56</v>
      </c>
      <c r="B6" s="8" t="s">
        <v>57</v>
      </c>
      <c r="C6" s="8" t="s">
        <v>43</v>
      </c>
      <c r="D6" s="8" t="s">
        <v>44</v>
      </c>
      <c r="E6" s="8" t="s">
        <v>58</v>
      </c>
      <c r="F6" s="8"/>
      <c r="G6" s="8" t="s">
        <v>59</v>
      </c>
      <c r="H6" s="8" t="s">
        <v>47</v>
      </c>
      <c r="I6" s="8"/>
    </row>
    <row r="7" customFormat="false" ht="15" hidden="false" customHeight="false" outlineLevel="0" collapsed="false">
      <c r="A7" s="8" t="s">
        <v>60</v>
      </c>
      <c r="B7" s="8" t="s">
        <v>61</v>
      </c>
      <c r="C7" s="8" t="s">
        <v>62</v>
      </c>
      <c r="D7" s="8" t="s">
        <v>63</v>
      </c>
      <c r="E7" s="8" t="s">
        <v>64</v>
      </c>
      <c r="F7" s="8"/>
      <c r="G7" s="8" t="s">
        <v>65</v>
      </c>
      <c r="H7" s="8" t="s">
        <v>47</v>
      </c>
      <c r="I7" s="8"/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43</v>
      </c>
      <c r="D8" s="8" t="s">
        <v>44</v>
      </c>
      <c r="E8" s="8" t="s">
        <v>68</v>
      </c>
      <c r="F8" s="8"/>
      <c r="G8" s="8" t="s">
        <v>51</v>
      </c>
      <c r="H8" s="8" t="s">
        <v>47</v>
      </c>
      <c r="I8" s="8"/>
    </row>
    <row r="9" customFormat="false" ht="15" hidden="false" customHeight="false" outlineLevel="0" collapsed="false">
      <c r="A9" s="8" t="s">
        <v>69</v>
      </c>
      <c r="B9" s="8" t="s">
        <v>70</v>
      </c>
      <c r="C9" s="8" t="s">
        <v>43</v>
      </c>
      <c r="D9" s="8" t="s">
        <v>44</v>
      </c>
      <c r="E9" s="8" t="s">
        <v>71</v>
      </c>
      <c r="F9" s="8"/>
      <c r="G9" s="8" t="s">
        <v>72</v>
      </c>
      <c r="H9" s="8" t="s">
        <v>47</v>
      </c>
      <c r="I9" s="8"/>
    </row>
    <row r="10" customFormat="false" ht="15" hidden="false" customHeight="false" outlineLevel="0" collapsed="false">
      <c r="A10" s="8" t="s">
        <v>73</v>
      </c>
      <c r="B10" s="8" t="s">
        <v>74</v>
      </c>
      <c r="C10" s="8" t="s">
        <v>62</v>
      </c>
      <c r="D10" s="8" t="s">
        <v>75</v>
      </c>
      <c r="E10" s="8" t="s">
        <v>65</v>
      </c>
      <c r="F10" s="8"/>
      <c r="G10" s="8" t="s">
        <v>76</v>
      </c>
      <c r="H10" s="8" t="s">
        <v>47</v>
      </c>
      <c r="I10" s="8"/>
    </row>
    <row r="11" customFormat="false" ht="15" hidden="false" customHeight="false" outlineLevel="0" collapsed="false">
      <c r="A11" s="8" t="s">
        <v>77</v>
      </c>
      <c r="B11" s="8" t="s">
        <v>78</v>
      </c>
      <c r="C11" s="8" t="s">
        <v>79</v>
      </c>
      <c r="D11" s="8" t="s">
        <v>80</v>
      </c>
      <c r="E11" s="8" t="s">
        <v>81</v>
      </c>
      <c r="F11" s="8"/>
      <c r="G11" s="8" t="s">
        <v>82</v>
      </c>
      <c r="H11" s="8" t="s">
        <v>47</v>
      </c>
      <c r="I11" s="8"/>
    </row>
    <row r="12" customFormat="false" ht="15" hidden="false" customHeight="false" outlineLevel="0" collapsed="false">
      <c r="A12" s="8" t="s">
        <v>83</v>
      </c>
      <c r="B12" s="8" t="s">
        <v>84</v>
      </c>
      <c r="C12" s="8" t="s">
        <v>79</v>
      </c>
      <c r="D12" s="8" t="s">
        <v>85</v>
      </c>
      <c r="E12" s="8" t="s">
        <v>86</v>
      </c>
      <c r="F12" s="8"/>
      <c r="G12" s="8" t="s">
        <v>87</v>
      </c>
      <c r="H12" s="8" t="s">
        <v>47</v>
      </c>
      <c r="I12" s="8"/>
    </row>
    <row r="13" customFormat="false" ht="15" hidden="false" customHeight="false" outlineLevel="0" collapsed="false">
      <c r="A13" s="8" t="s">
        <v>88</v>
      </c>
      <c r="B13" s="8" t="s">
        <v>89</v>
      </c>
      <c r="C13" s="8" t="s">
        <v>90</v>
      </c>
      <c r="D13" s="8" t="s">
        <v>91</v>
      </c>
      <c r="E13" s="8" t="s">
        <v>92</v>
      </c>
      <c r="F13" s="8"/>
      <c r="G13" s="8" t="s">
        <v>93</v>
      </c>
      <c r="H13" s="8" t="s">
        <v>47</v>
      </c>
      <c r="I13" s="8"/>
    </row>
    <row r="14" customFormat="false" ht="15" hidden="false" customHeight="false" outlineLevel="0" collapsed="false">
      <c r="A14" s="8" t="s">
        <v>94</v>
      </c>
      <c r="B14" s="8" t="s">
        <v>95</v>
      </c>
      <c r="C14" s="8" t="s">
        <v>90</v>
      </c>
      <c r="D14" s="8" t="s">
        <v>91</v>
      </c>
      <c r="E14" s="8" t="s">
        <v>96</v>
      </c>
      <c r="F14" s="8"/>
      <c r="G14" s="8" t="s">
        <v>55</v>
      </c>
      <c r="H14" s="8" t="s">
        <v>47</v>
      </c>
      <c r="I14" s="8"/>
    </row>
    <row r="15" customFormat="false" ht="15" hidden="false" customHeight="false" outlineLevel="0" collapsed="false">
      <c r="A15" s="8" t="s">
        <v>97</v>
      </c>
      <c r="B15" s="8" t="s">
        <v>98</v>
      </c>
      <c r="C15" s="8" t="s">
        <v>90</v>
      </c>
      <c r="D15" s="8" t="s">
        <v>99</v>
      </c>
      <c r="E15" s="8" t="s">
        <v>100</v>
      </c>
      <c r="F15" s="8"/>
      <c r="G15" s="8" t="s">
        <v>101</v>
      </c>
      <c r="H15" s="8" t="s">
        <v>47</v>
      </c>
      <c r="I15" s="8"/>
    </row>
    <row r="16" customFormat="false" ht="15" hidden="false" customHeight="false" outlineLevel="0" collapsed="false">
      <c r="A16" s="8" t="s">
        <v>102</v>
      </c>
      <c r="B16" s="8" t="s">
        <v>103</v>
      </c>
      <c r="C16" s="8" t="s">
        <v>90</v>
      </c>
      <c r="D16" s="8" t="s">
        <v>91</v>
      </c>
      <c r="E16" s="8" t="s">
        <v>104</v>
      </c>
      <c r="F16" s="8"/>
      <c r="G16" s="8" t="s">
        <v>105</v>
      </c>
      <c r="H16" s="8" t="s">
        <v>47</v>
      </c>
      <c r="I16" s="8"/>
    </row>
    <row r="17" customFormat="false" ht="15" hidden="false" customHeight="false" outlineLevel="0" collapsed="false">
      <c r="A17" s="8" t="s">
        <v>106</v>
      </c>
      <c r="B17" s="8" t="s">
        <v>107</v>
      </c>
      <c r="C17" s="8" t="s">
        <v>90</v>
      </c>
      <c r="D17" s="8" t="s">
        <v>99</v>
      </c>
      <c r="E17" s="8" t="s">
        <v>108</v>
      </c>
      <c r="F17" s="8"/>
      <c r="G17" s="8" t="s">
        <v>109</v>
      </c>
      <c r="H17" s="8" t="s">
        <v>47</v>
      </c>
      <c r="I17" s="8"/>
    </row>
    <row r="18" customFormat="false" ht="15" hidden="false" customHeight="false" outlineLevel="0" collapsed="false">
      <c r="A18" s="8" t="s">
        <v>110</v>
      </c>
      <c r="B18" s="8" t="s">
        <v>111</v>
      </c>
      <c r="C18" s="8" t="s">
        <v>112</v>
      </c>
      <c r="D18" s="8" t="s">
        <v>113</v>
      </c>
      <c r="E18" s="8" t="s">
        <v>114</v>
      </c>
      <c r="F18" s="8"/>
      <c r="G18" s="8" t="s">
        <v>115</v>
      </c>
      <c r="H18" s="8" t="s">
        <v>47</v>
      </c>
      <c r="I18" s="8"/>
    </row>
    <row r="19" customFormat="false" ht="15" hidden="false" customHeight="false" outlineLevel="0" collapsed="false">
      <c r="A19" s="8" t="s">
        <v>116</v>
      </c>
      <c r="B19" s="8" t="s">
        <v>117</v>
      </c>
      <c r="C19" s="8" t="s">
        <v>112</v>
      </c>
      <c r="D19" s="8" t="s">
        <v>118</v>
      </c>
      <c r="E19" s="8" t="s">
        <v>119</v>
      </c>
      <c r="F19" s="8"/>
      <c r="G19" s="8" t="s">
        <v>120</v>
      </c>
      <c r="H19" s="8" t="s">
        <v>47</v>
      </c>
      <c r="I19" s="8"/>
    </row>
    <row r="20" customFormat="false" ht="15" hidden="false" customHeight="false" outlineLevel="0" collapsed="false">
      <c r="A20" s="8" t="s">
        <v>121</v>
      </c>
      <c r="B20" s="8" t="s">
        <v>122</v>
      </c>
      <c r="C20" s="8" t="s">
        <v>123</v>
      </c>
      <c r="D20" s="8" t="s">
        <v>124</v>
      </c>
      <c r="E20" s="8" t="s">
        <v>125</v>
      </c>
      <c r="F20" s="8"/>
      <c r="G20" s="8" t="s">
        <v>115</v>
      </c>
      <c r="H20" s="8" t="s">
        <v>47</v>
      </c>
      <c r="I20" s="8"/>
    </row>
    <row r="21" customFormat="false" ht="15" hidden="false" customHeight="false" outlineLevel="0" collapsed="false">
      <c r="A21" s="8" t="s">
        <v>126</v>
      </c>
      <c r="B21" s="8" t="s">
        <v>127</v>
      </c>
      <c r="C21" s="8" t="s">
        <v>123</v>
      </c>
      <c r="D21" s="8" t="s">
        <v>128</v>
      </c>
      <c r="E21" s="8" t="s">
        <v>129</v>
      </c>
      <c r="F21" s="8"/>
      <c r="G21" s="8" t="s">
        <v>130</v>
      </c>
      <c r="H21" s="8" t="s">
        <v>47</v>
      </c>
      <c r="I21" s="8"/>
    </row>
    <row r="22" customFormat="false" ht="15" hidden="false" customHeight="false" outlineLevel="0" collapsed="false">
      <c r="A22" s="8" t="s">
        <v>131</v>
      </c>
      <c r="B22" s="8" t="s">
        <v>132</v>
      </c>
      <c r="C22" s="8" t="s">
        <v>133</v>
      </c>
      <c r="D22" s="8" t="s">
        <v>134</v>
      </c>
      <c r="E22" s="8" t="s">
        <v>135</v>
      </c>
      <c r="F22" s="8"/>
      <c r="G22" s="8" t="s">
        <v>136</v>
      </c>
      <c r="H22" s="8" t="s">
        <v>47</v>
      </c>
      <c r="I22" s="8"/>
    </row>
    <row r="23" customFormat="false" ht="15" hidden="false" customHeight="false" outlineLevel="0" collapsed="false">
      <c r="A23" s="8" t="s">
        <v>137</v>
      </c>
      <c r="B23" s="8" t="s">
        <v>138</v>
      </c>
      <c r="C23" s="8" t="s">
        <v>123</v>
      </c>
      <c r="D23" s="8" t="s">
        <v>139</v>
      </c>
      <c r="E23" s="8" t="s">
        <v>140</v>
      </c>
      <c r="F23" s="8"/>
      <c r="G23" s="8" t="s">
        <v>115</v>
      </c>
      <c r="H23" s="8" t="s">
        <v>47</v>
      </c>
      <c r="I23" s="8"/>
    </row>
    <row r="24" customFormat="false" ht="15" hidden="false" customHeight="false" outlineLevel="0" collapsed="false">
      <c r="A24" s="8" t="s">
        <v>141</v>
      </c>
      <c r="B24" s="8" t="s">
        <v>142</v>
      </c>
      <c r="C24" s="8" t="s">
        <v>133</v>
      </c>
      <c r="D24" s="8" t="s">
        <v>143</v>
      </c>
      <c r="E24" s="8" t="s">
        <v>144</v>
      </c>
      <c r="F24" s="8"/>
      <c r="G24" s="8" t="s">
        <v>145</v>
      </c>
      <c r="H24" s="8" t="s">
        <v>47</v>
      </c>
      <c r="I24" s="8"/>
    </row>
    <row r="25" customFormat="false" ht="15" hidden="false" customHeight="false" outlineLevel="0" collapsed="false">
      <c r="A25" s="8" t="s">
        <v>146</v>
      </c>
      <c r="B25" s="8" t="s">
        <v>147</v>
      </c>
      <c r="C25" s="8" t="s">
        <v>112</v>
      </c>
      <c r="D25" s="8" t="s">
        <v>148</v>
      </c>
      <c r="E25" s="8" t="s">
        <v>149</v>
      </c>
      <c r="F25" s="8"/>
      <c r="G25" s="8" t="s">
        <v>145</v>
      </c>
      <c r="H25" s="8" t="s">
        <v>47</v>
      </c>
      <c r="I25" s="8"/>
    </row>
    <row r="26" customFormat="false" ht="15" hidden="false" customHeight="false" outlineLevel="0" collapsed="false">
      <c r="A26" s="8" t="s">
        <v>150</v>
      </c>
      <c r="B26" s="8" t="s">
        <v>151</v>
      </c>
      <c r="C26" s="8" t="s">
        <v>152</v>
      </c>
      <c r="D26" s="8" t="s">
        <v>153</v>
      </c>
      <c r="E26" s="8" t="s">
        <v>154</v>
      </c>
      <c r="F26" s="8"/>
      <c r="G26" s="8" t="s">
        <v>155</v>
      </c>
      <c r="H26" s="8" t="s">
        <v>47</v>
      </c>
      <c r="I26" s="8"/>
    </row>
    <row r="27" customFormat="false" ht="15" hidden="false" customHeight="false" outlineLevel="0" collapsed="false">
      <c r="A27" s="8" t="s">
        <v>156</v>
      </c>
      <c r="B27" s="8" t="s">
        <v>157</v>
      </c>
      <c r="C27" s="8" t="s">
        <v>158</v>
      </c>
      <c r="D27" s="8" t="s">
        <v>159</v>
      </c>
      <c r="E27" s="8" t="s">
        <v>160</v>
      </c>
      <c r="F27" s="8"/>
      <c r="G27" s="8" t="s">
        <v>161</v>
      </c>
      <c r="H27" s="8" t="s">
        <v>47</v>
      </c>
      <c r="I27" s="8"/>
    </row>
    <row r="28" customFormat="false" ht="15" hidden="false" customHeight="false" outlineLevel="0" collapsed="false">
      <c r="A28" s="8" t="s">
        <v>162</v>
      </c>
      <c r="B28" s="8" t="s">
        <v>163</v>
      </c>
      <c r="C28" s="8" t="s">
        <v>79</v>
      </c>
      <c r="D28" s="8" t="s">
        <v>164</v>
      </c>
      <c r="E28" s="8" t="s">
        <v>165</v>
      </c>
      <c r="F28" s="8"/>
      <c r="G28" s="8" t="s">
        <v>105</v>
      </c>
      <c r="H28" s="8" t="s">
        <v>47</v>
      </c>
      <c r="I28" s="8"/>
    </row>
    <row r="29" customFormat="false" ht="15" hidden="false" customHeight="false" outlineLevel="0" collapsed="false">
      <c r="A29" s="8" t="s">
        <v>166</v>
      </c>
      <c r="B29" s="8" t="s">
        <v>167</v>
      </c>
      <c r="C29" s="8" t="s">
        <v>79</v>
      </c>
      <c r="D29" s="8" t="s">
        <v>168</v>
      </c>
      <c r="E29" s="8" t="s">
        <v>169</v>
      </c>
      <c r="F29" s="8"/>
      <c r="G29" s="8" t="s">
        <v>115</v>
      </c>
      <c r="H29" s="8" t="s">
        <v>47</v>
      </c>
      <c r="I29" s="8"/>
    </row>
    <row r="30" customFormat="false" ht="15" hidden="false" customHeight="false" outlineLevel="0" collapsed="false">
      <c r="A30" s="8" t="s">
        <v>170</v>
      </c>
      <c r="B30" s="8" t="s">
        <v>171</v>
      </c>
      <c r="C30" s="8" t="s">
        <v>112</v>
      </c>
      <c r="D30" s="8" t="s">
        <v>153</v>
      </c>
      <c r="E30" s="8" t="s">
        <v>172</v>
      </c>
      <c r="F30" s="8"/>
      <c r="G30" s="8" t="s">
        <v>59</v>
      </c>
      <c r="H30" s="8" t="s">
        <v>47</v>
      </c>
      <c r="I30" s="8"/>
    </row>
    <row r="31" customFormat="false" ht="15" hidden="false" customHeight="false" outlineLevel="0" collapsed="false">
      <c r="A31" s="8" t="s">
        <v>173</v>
      </c>
      <c r="B31" s="8" t="s">
        <v>174</v>
      </c>
      <c r="C31" s="8" t="s">
        <v>90</v>
      </c>
      <c r="D31" s="8" t="s">
        <v>175</v>
      </c>
      <c r="E31" s="8" t="s">
        <v>176</v>
      </c>
      <c r="F31" s="8"/>
      <c r="G31" s="8" t="s">
        <v>130</v>
      </c>
      <c r="H31" s="8" t="s">
        <v>47</v>
      </c>
      <c r="I31" s="8"/>
    </row>
    <row r="32" customFormat="false" ht="15" hidden="false" customHeight="false" outlineLevel="0" collapsed="false">
      <c r="A32" s="8" t="s">
        <v>177</v>
      </c>
      <c r="B32" s="8" t="s">
        <v>178</v>
      </c>
      <c r="C32" s="8" t="s">
        <v>43</v>
      </c>
      <c r="D32" s="8" t="s">
        <v>179</v>
      </c>
      <c r="E32" s="8" t="s">
        <v>180</v>
      </c>
      <c r="F32" s="8"/>
      <c r="G32" s="8" t="s">
        <v>109</v>
      </c>
      <c r="H32" s="8" t="s">
        <v>47</v>
      </c>
      <c r="I32" s="8"/>
    </row>
    <row r="33" customFormat="false" ht="15" hidden="false" customHeight="false" outlineLevel="0" collapsed="false">
      <c r="A33" s="8" t="s">
        <v>181</v>
      </c>
      <c r="B33" s="8" t="s">
        <v>182</v>
      </c>
      <c r="C33" s="8" t="s">
        <v>183</v>
      </c>
      <c r="D33" s="8" t="s">
        <v>184</v>
      </c>
      <c r="E33" s="8" t="s">
        <v>185</v>
      </c>
      <c r="F33" s="8"/>
      <c r="G33" s="8" t="s">
        <v>186</v>
      </c>
      <c r="H33" s="8" t="s">
        <v>47</v>
      </c>
      <c r="I33" s="8"/>
    </row>
    <row r="34" customFormat="false" ht="15" hidden="false" customHeight="false" outlineLevel="0" collapsed="false">
      <c r="A34" s="8" t="s">
        <v>187</v>
      </c>
      <c r="B34" s="8" t="s">
        <v>188</v>
      </c>
      <c r="C34" s="8" t="s">
        <v>112</v>
      </c>
      <c r="D34" s="8" t="s">
        <v>189</v>
      </c>
      <c r="E34" s="8" t="s">
        <v>190</v>
      </c>
      <c r="F34" s="8"/>
      <c r="G34" s="8" t="s">
        <v>45</v>
      </c>
      <c r="H34" s="8" t="s">
        <v>47</v>
      </c>
      <c r="I34" s="8"/>
    </row>
    <row r="35" customFormat="false" ht="15" hidden="false" customHeight="false" outlineLevel="0" collapsed="false">
      <c r="A35" s="8" t="s">
        <v>191</v>
      </c>
      <c r="B35" s="8" t="s">
        <v>192</v>
      </c>
      <c r="C35" s="8" t="s">
        <v>112</v>
      </c>
      <c r="D35" s="8" t="s">
        <v>189</v>
      </c>
      <c r="E35" s="8" t="s">
        <v>193</v>
      </c>
      <c r="F35" s="8"/>
      <c r="G35" s="8" t="s">
        <v>45</v>
      </c>
      <c r="H35" s="8" t="s">
        <v>47</v>
      </c>
      <c r="I35" s="8"/>
    </row>
    <row r="36" customFormat="false" ht="15" hidden="false" customHeight="false" outlineLevel="0" collapsed="false">
      <c r="A36" s="8" t="s">
        <v>194</v>
      </c>
      <c r="B36" s="8" t="s">
        <v>195</v>
      </c>
      <c r="C36" s="8" t="s">
        <v>183</v>
      </c>
      <c r="D36" s="8" t="s">
        <v>196</v>
      </c>
      <c r="E36" s="8" t="s">
        <v>197</v>
      </c>
      <c r="F36" s="8"/>
      <c r="G36" s="8" t="s">
        <v>55</v>
      </c>
      <c r="H36" s="8" t="s">
        <v>47</v>
      </c>
      <c r="I36" s="8"/>
    </row>
    <row r="37" customFormat="false" ht="15" hidden="false" customHeight="false" outlineLevel="0" collapsed="false">
      <c r="A37" s="8" t="s">
        <v>198</v>
      </c>
      <c r="B37" s="8" t="s">
        <v>199</v>
      </c>
      <c r="C37" s="8" t="s">
        <v>200</v>
      </c>
      <c r="D37" s="8" t="s">
        <v>201</v>
      </c>
      <c r="E37" s="8" t="s">
        <v>202</v>
      </c>
      <c r="F37" s="8"/>
      <c r="G37" s="8" t="s">
        <v>120</v>
      </c>
      <c r="H37" s="8" t="s">
        <v>47</v>
      </c>
      <c r="I37" s="8"/>
    </row>
    <row r="38" customFormat="false" ht="15" hidden="false" customHeight="false" outlineLevel="0" collapsed="false">
      <c r="A38" s="8" t="s">
        <v>203</v>
      </c>
      <c r="B38" s="8" t="s">
        <v>204</v>
      </c>
      <c r="C38" s="8" t="s">
        <v>200</v>
      </c>
      <c r="D38" s="8" t="s">
        <v>205</v>
      </c>
      <c r="E38" s="8" t="s">
        <v>206</v>
      </c>
      <c r="F38" s="8"/>
      <c r="G38" s="8" t="s">
        <v>207</v>
      </c>
      <c r="H38" s="8" t="s">
        <v>47</v>
      </c>
      <c r="I38" s="8"/>
    </row>
    <row r="39" customFormat="false" ht="15" hidden="false" customHeight="false" outlineLevel="0" collapsed="false">
      <c r="A39" s="8" t="s">
        <v>208</v>
      </c>
      <c r="B39" s="8" t="s">
        <v>209</v>
      </c>
      <c r="C39" s="8" t="s">
        <v>200</v>
      </c>
      <c r="D39" s="8" t="s">
        <v>210</v>
      </c>
      <c r="E39" s="8" t="s">
        <v>211</v>
      </c>
      <c r="F39" s="8"/>
      <c r="G39" s="8" t="s">
        <v>207</v>
      </c>
      <c r="H39" s="8" t="s">
        <v>47</v>
      </c>
      <c r="I39" s="8"/>
    </row>
    <row r="40" customFormat="false" ht="15" hidden="false" customHeight="false" outlineLevel="0" collapsed="false">
      <c r="A40" s="8" t="s">
        <v>212</v>
      </c>
      <c r="B40" s="8" t="s">
        <v>213</v>
      </c>
      <c r="C40" s="8" t="s">
        <v>20</v>
      </c>
      <c r="D40" s="8" t="s">
        <v>214</v>
      </c>
      <c r="E40" s="8" t="s">
        <v>215</v>
      </c>
      <c r="F40" s="8"/>
      <c r="G40" s="8" t="s">
        <v>161</v>
      </c>
      <c r="H40" s="8" t="s">
        <v>47</v>
      </c>
      <c r="I40" s="8"/>
    </row>
    <row r="41" customFormat="false" ht="15" hidden="false" customHeight="false" outlineLevel="0" collapsed="false">
      <c r="A41" s="8" t="s">
        <v>216</v>
      </c>
      <c r="B41" s="8" t="s">
        <v>217</v>
      </c>
      <c r="C41" s="8" t="s">
        <v>20</v>
      </c>
      <c r="D41" s="8" t="s">
        <v>216</v>
      </c>
      <c r="E41" s="8" t="s">
        <v>218</v>
      </c>
      <c r="F41" s="8"/>
      <c r="G41" s="8" t="s">
        <v>160</v>
      </c>
      <c r="H41" s="8" t="s">
        <v>47</v>
      </c>
      <c r="I41" s="8"/>
    </row>
    <row r="42" customFormat="false" ht="15" hidden="false" customHeight="false" outlineLevel="0" collapsed="false">
      <c r="A42" s="8" t="s">
        <v>219</v>
      </c>
      <c r="B42" s="8" t="s">
        <v>220</v>
      </c>
      <c r="C42" s="8" t="s">
        <v>20</v>
      </c>
      <c r="D42" s="8" t="s">
        <v>219</v>
      </c>
      <c r="E42" s="8" t="s">
        <v>221</v>
      </c>
      <c r="F42" s="8"/>
      <c r="G42" s="8" t="s">
        <v>160</v>
      </c>
      <c r="H42" s="8" t="s">
        <v>47</v>
      </c>
      <c r="I42" s="8"/>
    </row>
    <row r="43" customFormat="false" ht="15" hidden="false" customHeight="false" outlineLevel="0" collapsed="false">
      <c r="A43" s="8" t="s">
        <v>222</v>
      </c>
      <c r="B43" s="8" t="s">
        <v>223</v>
      </c>
      <c r="C43" s="8" t="s">
        <v>20</v>
      </c>
      <c r="D43" s="8" t="s">
        <v>224</v>
      </c>
      <c r="E43" s="8" t="s">
        <v>225</v>
      </c>
      <c r="F43" s="8"/>
      <c r="G43" s="8" t="s">
        <v>226</v>
      </c>
      <c r="H43" s="8" t="s">
        <v>47</v>
      </c>
      <c r="I43" s="8"/>
    </row>
    <row r="44" customFormat="false" ht="15" hidden="false" customHeight="false" outlineLevel="0" collapsed="false">
      <c r="A44" s="8" t="s">
        <v>227</v>
      </c>
      <c r="B44" s="8" t="s">
        <v>228</v>
      </c>
      <c r="C44" s="8" t="s">
        <v>229</v>
      </c>
      <c r="D44" s="8" t="s">
        <v>230</v>
      </c>
      <c r="E44" s="8" t="s">
        <v>231</v>
      </c>
      <c r="F44" s="8"/>
      <c r="G44" s="8" t="s">
        <v>232</v>
      </c>
      <c r="H44" s="8" t="s">
        <v>47</v>
      </c>
      <c r="I44" s="8"/>
    </row>
    <row r="45" customFormat="false" ht="15" hidden="false" customHeight="false" outlineLevel="0" collapsed="false">
      <c r="A45" s="8" t="s">
        <v>233</v>
      </c>
      <c r="B45" s="8" t="s">
        <v>234</v>
      </c>
      <c r="C45" s="8" t="s">
        <v>200</v>
      </c>
      <c r="D45" s="8" t="s">
        <v>235</v>
      </c>
      <c r="E45" s="8" t="s">
        <v>236</v>
      </c>
      <c r="F45" s="8"/>
      <c r="G45" s="8" t="s">
        <v>114</v>
      </c>
      <c r="H45" s="8" t="s">
        <v>47</v>
      </c>
      <c r="I45" s="8"/>
    </row>
    <row r="46" customFormat="false" ht="15" hidden="false" customHeight="false" outlineLevel="0" collapsed="false">
      <c r="A46" s="8" t="s">
        <v>237</v>
      </c>
      <c r="B46" s="8" t="s">
        <v>238</v>
      </c>
      <c r="C46" s="8" t="s">
        <v>239</v>
      </c>
      <c r="D46" s="8" t="s">
        <v>240</v>
      </c>
      <c r="E46" s="8" t="s">
        <v>241</v>
      </c>
      <c r="F46" s="8"/>
      <c r="G46" s="8" t="s">
        <v>161</v>
      </c>
      <c r="H46" s="8" t="s">
        <v>47</v>
      </c>
      <c r="I46" s="8"/>
    </row>
    <row r="47" customFormat="false" ht="15" hidden="false" customHeight="false" outlineLevel="0" collapsed="false">
      <c r="A47" s="8" t="s">
        <v>242</v>
      </c>
      <c r="B47" s="8" t="s">
        <v>243</v>
      </c>
      <c r="C47" s="8" t="s">
        <v>244</v>
      </c>
      <c r="D47" s="8" t="s">
        <v>245</v>
      </c>
      <c r="E47" s="8" t="s">
        <v>246</v>
      </c>
      <c r="F47" s="8"/>
      <c r="G47" s="8" t="s">
        <v>120</v>
      </c>
      <c r="H47" s="8" t="s">
        <v>47</v>
      </c>
      <c r="I47" s="8"/>
    </row>
    <row r="48" customFormat="false" ht="15" hidden="false" customHeight="false" outlineLevel="0" collapsed="false">
      <c r="A48" s="8" t="s">
        <v>247</v>
      </c>
      <c r="B48" s="8" t="s">
        <v>248</v>
      </c>
      <c r="C48" s="8" t="s">
        <v>229</v>
      </c>
      <c r="D48" s="8" t="s">
        <v>247</v>
      </c>
      <c r="E48" s="8" t="s">
        <v>249</v>
      </c>
      <c r="F48" s="8"/>
      <c r="G48" s="8" t="s">
        <v>87</v>
      </c>
      <c r="H48" s="8" t="s">
        <v>47</v>
      </c>
      <c r="I48" s="8"/>
    </row>
    <row r="49" customFormat="false" ht="15" hidden="false" customHeight="false" outlineLevel="0" collapsed="false">
      <c r="A49" s="8" t="s">
        <v>250</v>
      </c>
      <c r="B49" s="8" t="s">
        <v>251</v>
      </c>
      <c r="C49" s="8" t="s">
        <v>239</v>
      </c>
      <c r="D49" s="8" t="s">
        <v>252</v>
      </c>
      <c r="E49" s="8" t="s">
        <v>253</v>
      </c>
      <c r="F49" s="8"/>
      <c r="G49" s="8" t="s">
        <v>221</v>
      </c>
      <c r="H49" s="8" t="s">
        <v>47</v>
      </c>
      <c r="I49" s="8"/>
    </row>
    <row r="50" customFormat="false" ht="15" hidden="false" customHeight="false" outlineLevel="0" collapsed="false">
      <c r="A50" s="8" t="s">
        <v>254</v>
      </c>
      <c r="B50" s="8" t="s">
        <v>255</v>
      </c>
      <c r="C50" s="8" t="s">
        <v>239</v>
      </c>
      <c r="D50" s="8" t="s">
        <v>256</v>
      </c>
      <c r="E50" s="8" t="s">
        <v>257</v>
      </c>
      <c r="F50" s="8"/>
      <c r="G50" s="8" t="s">
        <v>161</v>
      </c>
      <c r="H50" s="8" t="s">
        <v>47</v>
      </c>
      <c r="I50" s="8"/>
    </row>
    <row r="51" customFormat="false" ht="15" hidden="false" customHeight="false" outlineLevel="0" collapsed="false">
      <c r="A51" s="8" t="s">
        <v>258</v>
      </c>
      <c r="B51" s="8" t="s">
        <v>259</v>
      </c>
      <c r="C51" s="8" t="s">
        <v>43</v>
      </c>
      <c r="D51" s="8" t="s">
        <v>260</v>
      </c>
      <c r="E51" s="8" t="s">
        <v>261</v>
      </c>
      <c r="F51" s="8"/>
      <c r="G51" s="8" t="s">
        <v>145</v>
      </c>
      <c r="H51" s="8" t="s">
        <v>47</v>
      </c>
      <c r="I51" s="8"/>
    </row>
    <row r="52" customFormat="false" ht="15" hidden="false" customHeight="false" outlineLevel="0" collapsed="false">
      <c r="A52" s="8" t="s">
        <v>262</v>
      </c>
      <c r="B52" s="8" t="s">
        <v>263</v>
      </c>
      <c r="C52" s="8" t="s">
        <v>43</v>
      </c>
      <c r="D52" s="8" t="s">
        <v>260</v>
      </c>
      <c r="E52" s="8" t="s">
        <v>207</v>
      </c>
      <c r="F52" s="8"/>
      <c r="G52" s="8" t="s">
        <v>155</v>
      </c>
      <c r="H52" s="8" t="s">
        <v>47</v>
      </c>
      <c r="I52" s="8"/>
    </row>
    <row r="53" customFormat="false" ht="15" hidden="false" customHeight="false" outlineLevel="0" collapsed="false">
      <c r="A53" s="8" t="s">
        <v>264</v>
      </c>
      <c r="B53" s="8" t="s">
        <v>265</v>
      </c>
      <c r="C53" s="8" t="s">
        <v>62</v>
      </c>
      <c r="D53" s="8" t="s">
        <v>266</v>
      </c>
      <c r="E53" s="8" t="s">
        <v>267</v>
      </c>
      <c r="F53" s="8"/>
      <c r="G53" s="8" t="s">
        <v>268</v>
      </c>
      <c r="H53" s="8" t="s">
        <v>47</v>
      </c>
      <c r="I53" s="8"/>
    </row>
    <row r="54" customFormat="false" ht="15" hidden="false" customHeight="false" outlineLevel="0" collapsed="false">
      <c r="A54" s="8" t="s">
        <v>269</v>
      </c>
      <c r="B54" s="8" t="s">
        <v>270</v>
      </c>
      <c r="C54" s="8" t="s">
        <v>62</v>
      </c>
      <c r="D54" s="8" t="s">
        <v>271</v>
      </c>
      <c r="E54" s="8" t="s">
        <v>272</v>
      </c>
      <c r="F54" s="8"/>
      <c r="G54" s="8" t="s">
        <v>68</v>
      </c>
      <c r="H54" s="8" t="s">
        <v>47</v>
      </c>
      <c r="I54" s="8"/>
    </row>
    <row r="55" customFormat="false" ht="15" hidden="false" customHeight="false" outlineLevel="0" collapsed="false">
      <c r="A55" s="8" t="s">
        <v>273</v>
      </c>
      <c r="B55" s="8" t="s">
        <v>274</v>
      </c>
      <c r="C55" s="8" t="s">
        <v>62</v>
      </c>
      <c r="D55" s="8" t="s">
        <v>275</v>
      </c>
      <c r="E55" s="8" t="s">
        <v>276</v>
      </c>
      <c r="F55" s="8"/>
      <c r="G55" s="8" t="s">
        <v>277</v>
      </c>
      <c r="H55" s="8" t="s">
        <v>47</v>
      </c>
      <c r="I55" s="8"/>
    </row>
    <row r="56" customFormat="false" ht="15" hidden="false" customHeight="false" outlineLevel="0" collapsed="false">
      <c r="A56" s="8" t="s">
        <v>278</v>
      </c>
      <c r="B56" s="8" t="s">
        <v>279</v>
      </c>
      <c r="C56" s="8" t="s">
        <v>62</v>
      </c>
      <c r="D56" s="8" t="s">
        <v>280</v>
      </c>
      <c r="E56" s="8" t="s">
        <v>281</v>
      </c>
      <c r="F56" s="8"/>
      <c r="G56" s="8" t="s">
        <v>145</v>
      </c>
      <c r="H56" s="8" t="s">
        <v>47</v>
      </c>
      <c r="I56" s="8"/>
    </row>
    <row r="57" customFormat="false" ht="15" hidden="false" customHeight="false" outlineLevel="0" collapsed="false">
      <c r="A57" s="8" t="s">
        <v>282</v>
      </c>
      <c r="B57" s="8" t="s">
        <v>283</v>
      </c>
      <c r="C57" s="8" t="s">
        <v>62</v>
      </c>
      <c r="D57" s="8" t="s">
        <v>284</v>
      </c>
      <c r="E57" s="8" t="s">
        <v>285</v>
      </c>
      <c r="F57" s="8"/>
      <c r="G57" s="8" t="s">
        <v>221</v>
      </c>
      <c r="H57" s="8" t="s">
        <v>47</v>
      </c>
      <c r="I57" s="8"/>
    </row>
    <row r="58" customFormat="false" ht="15" hidden="false" customHeight="false" outlineLevel="0" collapsed="false">
      <c r="A58" s="8" t="s">
        <v>286</v>
      </c>
      <c r="B58" s="8" t="s">
        <v>287</v>
      </c>
      <c r="C58" s="8" t="s">
        <v>62</v>
      </c>
      <c r="D58" s="8" t="s">
        <v>288</v>
      </c>
      <c r="E58" s="8" t="s">
        <v>289</v>
      </c>
      <c r="F58" s="8"/>
      <c r="G58" s="8" t="s">
        <v>161</v>
      </c>
      <c r="H58" s="8" t="s">
        <v>47</v>
      </c>
      <c r="I58" s="8"/>
    </row>
    <row r="59" customFormat="false" ht="15" hidden="false" customHeight="false" outlineLevel="0" collapsed="false">
      <c r="A59" s="8" t="s">
        <v>290</v>
      </c>
      <c r="B59" s="8" t="s">
        <v>291</v>
      </c>
      <c r="C59" s="8" t="s">
        <v>62</v>
      </c>
      <c r="D59" s="8" t="s">
        <v>275</v>
      </c>
      <c r="E59" s="8" t="s">
        <v>292</v>
      </c>
      <c r="F59" s="8"/>
      <c r="G59" s="8" t="s">
        <v>46</v>
      </c>
      <c r="H59" s="8" t="s">
        <v>47</v>
      </c>
      <c r="I59" s="8"/>
    </row>
    <row r="60" customFormat="false" ht="15" hidden="false" customHeight="false" outlineLevel="0" collapsed="false">
      <c r="A60" s="8" t="s">
        <v>293</v>
      </c>
      <c r="B60" s="8" t="s">
        <v>294</v>
      </c>
      <c r="C60" s="8" t="s">
        <v>62</v>
      </c>
      <c r="D60" s="8" t="s">
        <v>295</v>
      </c>
      <c r="E60" s="8" t="s">
        <v>296</v>
      </c>
      <c r="F60" s="8"/>
      <c r="G60" s="8" t="s">
        <v>45</v>
      </c>
      <c r="H60" s="8" t="s">
        <v>47</v>
      </c>
      <c r="I60" s="8"/>
    </row>
    <row r="61" customFormat="false" ht="15" hidden="false" customHeight="false" outlineLevel="0" collapsed="false">
      <c r="A61" s="8" t="s">
        <v>297</v>
      </c>
      <c r="B61" s="8" t="s">
        <v>298</v>
      </c>
      <c r="C61" s="8" t="s">
        <v>43</v>
      </c>
      <c r="D61" s="8" t="s">
        <v>299</v>
      </c>
      <c r="E61" s="8" t="s">
        <v>300</v>
      </c>
      <c r="F61" s="8"/>
      <c r="G61" s="8" t="s">
        <v>59</v>
      </c>
      <c r="H61" s="8" t="s">
        <v>47</v>
      </c>
      <c r="I61" s="8"/>
    </row>
    <row r="62" customFormat="false" ht="15" hidden="false" customHeight="false" outlineLevel="0" collapsed="false">
      <c r="A62" s="8" t="s">
        <v>301</v>
      </c>
      <c r="B62" s="8" t="s">
        <v>302</v>
      </c>
      <c r="C62" s="8" t="s">
        <v>79</v>
      </c>
      <c r="D62" s="8" t="s">
        <v>303</v>
      </c>
      <c r="E62" s="8" t="s">
        <v>304</v>
      </c>
      <c r="F62" s="8"/>
      <c r="G62" s="8" t="s">
        <v>120</v>
      </c>
      <c r="H62" s="8" t="s">
        <v>47</v>
      </c>
      <c r="I62" s="8"/>
    </row>
    <row r="63" customFormat="false" ht="15" hidden="false" customHeight="false" outlineLevel="0" collapsed="false">
      <c r="A63" s="8" t="s">
        <v>305</v>
      </c>
      <c r="B63" s="8" t="s">
        <v>306</v>
      </c>
      <c r="C63" s="8" t="s">
        <v>112</v>
      </c>
      <c r="D63" s="8" t="s">
        <v>307</v>
      </c>
      <c r="E63" s="8" t="s">
        <v>308</v>
      </c>
      <c r="F63" s="8"/>
      <c r="G63" s="8" t="s">
        <v>109</v>
      </c>
      <c r="H63" s="8" t="s">
        <v>47</v>
      </c>
      <c r="I63" s="8"/>
    </row>
    <row r="64" customFormat="false" ht="15" hidden="false" customHeight="false" outlineLevel="0" collapsed="false">
      <c r="A64" s="8" t="s">
        <v>309</v>
      </c>
      <c r="B64" s="8" t="s">
        <v>310</v>
      </c>
      <c r="C64" s="8" t="s">
        <v>133</v>
      </c>
      <c r="D64" s="8" t="s">
        <v>311</v>
      </c>
      <c r="E64" s="8" t="s">
        <v>312</v>
      </c>
      <c r="F64" s="8"/>
      <c r="G64" s="8" t="s">
        <v>155</v>
      </c>
      <c r="H64" s="8" t="s">
        <v>47</v>
      </c>
      <c r="I64" s="8"/>
    </row>
    <row r="65" customFormat="false" ht="15" hidden="false" customHeight="false" outlineLevel="0" collapsed="false">
      <c r="A65" s="8" t="s">
        <v>313</v>
      </c>
      <c r="B65" s="8" t="s">
        <v>314</v>
      </c>
      <c r="C65" s="8" t="s">
        <v>133</v>
      </c>
      <c r="D65" s="8" t="s">
        <v>315</v>
      </c>
      <c r="E65" s="8" t="s">
        <v>316</v>
      </c>
      <c r="F65" s="8"/>
      <c r="G65" s="8" t="s">
        <v>221</v>
      </c>
      <c r="H65" s="8" t="s">
        <v>47</v>
      </c>
      <c r="I65" s="8"/>
    </row>
    <row r="66" customFormat="false" ht="15" hidden="false" customHeight="false" outlineLevel="0" collapsed="false">
      <c r="A66" s="8" t="s">
        <v>317</v>
      </c>
      <c r="B66" s="8" t="s">
        <v>318</v>
      </c>
      <c r="C66" s="8" t="s">
        <v>20</v>
      </c>
      <c r="D66" s="8" t="s">
        <v>319</v>
      </c>
      <c r="E66" s="8" t="s">
        <v>320</v>
      </c>
      <c r="F66" s="8"/>
      <c r="G66" s="8" t="s">
        <v>321</v>
      </c>
      <c r="H66" s="8" t="s">
        <v>47</v>
      </c>
      <c r="I66" s="8"/>
    </row>
    <row r="67" customFormat="false" ht="15" hidden="false" customHeight="false" outlineLevel="0" collapsed="false">
      <c r="A67" s="8" t="s">
        <v>322</v>
      </c>
      <c r="B67" s="8" t="s">
        <v>323</v>
      </c>
      <c r="C67" s="8" t="s">
        <v>79</v>
      </c>
      <c r="D67" s="8" t="s">
        <v>324</v>
      </c>
      <c r="E67" s="8" t="s">
        <v>325</v>
      </c>
      <c r="F67" s="8"/>
      <c r="G67" s="8" t="s">
        <v>76</v>
      </c>
      <c r="H67" s="8" t="s">
        <v>47</v>
      </c>
      <c r="I67" s="8"/>
    </row>
    <row r="68" customFormat="false" ht="15" hidden="false" customHeight="false" outlineLevel="0" collapsed="false">
      <c r="A68" s="8" t="s">
        <v>326</v>
      </c>
      <c r="B68" s="8" t="s">
        <v>327</v>
      </c>
      <c r="C68" s="8" t="s">
        <v>62</v>
      </c>
      <c r="D68" s="8" t="s">
        <v>328</v>
      </c>
      <c r="E68" s="8" t="s">
        <v>120</v>
      </c>
      <c r="F68" s="8"/>
      <c r="G68" s="8" t="s">
        <v>65</v>
      </c>
      <c r="H68" s="8" t="s">
        <v>47</v>
      </c>
      <c r="I68" s="8"/>
    </row>
    <row r="69" customFormat="false" ht="15" hidden="false" customHeight="false" outlineLevel="0" collapsed="false">
      <c r="A69" s="8" t="s">
        <v>329</v>
      </c>
      <c r="B69" s="8" t="s">
        <v>330</v>
      </c>
      <c r="C69" s="8" t="s">
        <v>43</v>
      </c>
      <c r="D69" s="8" t="s">
        <v>331</v>
      </c>
      <c r="E69" s="8" t="s">
        <v>39</v>
      </c>
      <c r="F69" s="8"/>
      <c r="G69" s="8" t="s">
        <v>155</v>
      </c>
      <c r="H69" s="8" t="s">
        <v>47</v>
      </c>
      <c r="I69" s="8"/>
    </row>
    <row r="70" customFormat="false" ht="15" hidden="false" customHeight="false" outlineLevel="0" collapsed="false">
      <c r="A70" s="8" t="s">
        <v>332</v>
      </c>
      <c r="B70" s="8" t="s">
        <v>333</v>
      </c>
      <c r="C70" s="8" t="s">
        <v>62</v>
      </c>
      <c r="D70" s="8" t="s">
        <v>328</v>
      </c>
      <c r="E70" s="8" t="s">
        <v>186</v>
      </c>
      <c r="F70" s="8"/>
      <c r="G70" s="8" t="s">
        <v>64</v>
      </c>
      <c r="H70" s="8" t="s">
        <v>47</v>
      </c>
      <c r="I70" s="8"/>
    </row>
    <row r="71" customFormat="false" ht="15" hidden="false" customHeight="false" outlineLevel="0" collapsed="false">
      <c r="A71" s="8" t="s">
        <v>334</v>
      </c>
      <c r="B71" s="8" t="s">
        <v>335</v>
      </c>
      <c r="C71" s="8" t="s">
        <v>112</v>
      </c>
      <c r="D71" s="8" t="s">
        <v>336</v>
      </c>
      <c r="E71" s="8" t="s">
        <v>337</v>
      </c>
      <c r="F71" s="8"/>
      <c r="G71" s="8" t="s">
        <v>145</v>
      </c>
      <c r="H71" s="8" t="s">
        <v>47</v>
      </c>
      <c r="I71" s="8"/>
    </row>
    <row r="72" customFormat="false" ht="15" hidden="false" customHeight="false" outlineLevel="0" collapsed="false">
      <c r="A72" s="8" t="s">
        <v>338</v>
      </c>
      <c r="B72" s="8" t="s">
        <v>339</v>
      </c>
      <c r="C72" s="8" t="s">
        <v>183</v>
      </c>
      <c r="D72" s="8" t="s">
        <v>340</v>
      </c>
      <c r="E72" s="8" t="s">
        <v>341</v>
      </c>
      <c r="F72" s="8"/>
      <c r="G72" s="8" t="s">
        <v>55</v>
      </c>
      <c r="H72" s="8" t="s">
        <v>47</v>
      </c>
      <c r="I72" s="8"/>
    </row>
    <row r="73" customFormat="false" ht="15" hidden="false" customHeight="false" outlineLevel="0" collapsed="false">
      <c r="A73" s="8" t="s">
        <v>342</v>
      </c>
      <c r="B73" s="8" t="s">
        <v>343</v>
      </c>
      <c r="C73" s="8" t="s">
        <v>62</v>
      </c>
      <c r="D73" s="8" t="s">
        <v>344</v>
      </c>
      <c r="E73" s="8" t="s">
        <v>345</v>
      </c>
      <c r="F73" s="8"/>
      <c r="G73" s="8" t="s">
        <v>65</v>
      </c>
      <c r="H73" s="8" t="s">
        <v>47</v>
      </c>
      <c r="I73" s="8"/>
    </row>
    <row r="74" customFormat="false" ht="15" hidden="false" customHeight="false" outlineLevel="0" collapsed="false">
      <c r="A74" s="8" t="s">
        <v>346</v>
      </c>
      <c r="B74" s="8" t="s">
        <v>347</v>
      </c>
      <c r="C74" s="8" t="s">
        <v>112</v>
      </c>
      <c r="D74" s="8" t="s">
        <v>214</v>
      </c>
      <c r="E74" s="8" t="s">
        <v>348</v>
      </c>
      <c r="F74" s="8"/>
      <c r="G74" s="8" t="s">
        <v>59</v>
      </c>
      <c r="H74" s="8" t="s">
        <v>47</v>
      </c>
      <c r="I74" s="8"/>
    </row>
    <row r="75" customFormat="false" ht="15" hidden="false" customHeight="false" outlineLevel="0" collapsed="false">
      <c r="A75" s="8" t="s">
        <v>349</v>
      </c>
      <c r="B75" s="8" t="s">
        <v>350</v>
      </c>
      <c r="C75" s="8" t="s">
        <v>62</v>
      </c>
      <c r="D75" s="8" t="s">
        <v>351</v>
      </c>
      <c r="E75" s="8" t="s">
        <v>352</v>
      </c>
      <c r="F75" s="8"/>
      <c r="G75" s="8" t="s">
        <v>76</v>
      </c>
      <c r="H75" s="8" t="s">
        <v>47</v>
      </c>
      <c r="I75" s="8"/>
    </row>
    <row r="76" customFormat="false" ht="15" hidden="false" customHeight="false" outlineLevel="0" collapsed="false">
      <c r="A76" s="8" t="s">
        <v>353</v>
      </c>
      <c r="B76" s="8" t="s">
        <v>354</v>
      </c>
      <c r="C76" s="8" t="s">
        <v>183</v>
      </c>
      <c r="D76" s="8" t="s">
        <v>353</v>
      </c>
      <c r="E76" s="8" t="s">
        <v>355</v>
      </c>
      <c r="F76" s="8"/>
      <c r="G76" s="8" t="s">
        <v>109</v>
      </c>
      <c r="H76" s="8" t="s">
        <v>47</v>
      </c>
      <c r="I76" s="8"/>
    </row>
    <row r="77" customFormat="false" ht="15" hidden="false" customHeight="false" outlineLevel="0" collapsed="false">
      <c r="A77" s="8" t="s">
        <v>356</v>
      </c>
      <c r="B77" s="8" t="s">
        <v>357</v>
      </c>
      <c r="C77" s="8" t="s">
        <v>90</v>
      </c>
      <c r="D77" s="8" t="s">
        <v>358</v>
      </c>
      <c r="E77" s="8" t="s">
        <v>359</v>
      </c>
      <c r="F77" s="8"/>
      <c r="G77" s="8" t="s">
        <v>72</v>
      </c>
      <c r="H77" s="8" t="s">
        <v>47</v>
      </c>
      <c r="I77" s="8"/>
    </row>
    <row r="78" customFormat="false" ht="15" hidden="false" customHeight="false" outlineLevel="0" collapsed="false">
      <c r="A78" s="8" t="s">
        <v>360</v>
      </c>
      <c r="B78" s="8" t="s">
        <v>361</v>
      </c>
      <c r="C78" s="8" t="s">
        <v>62</v>
      </c>
      <c r="D78" s="8" t="s">
        <v>362</v>
      </c>
      <c r="E78" s="8" t="s">
        <v>363</v>
      </c>
      <c r="F78" s="8"/>
      <c r="G78" s="8" t="s">
        <v>120</v>
      </c>
      <c r="H78" s="8" t="s">
        <v>47</v>
      </c>
      <c r="I78" s="8"/>
    </row>
    <row r="79" customFormat="false" ht="15" hidden="false" customHeight="false" outlineLevel="0" collapsed="false">
      <c r="A79" s="8" t="s">
        <v>364</v>
      </c>
      <c r="B79" s="8" t="s">
        <v>365</v>
      </c>
      <c r="C79" s="8" t="s">
        <v>366</v>
      </c>
      <c r="D79" s="8" t="s">
        <v>367</v>
      </c>
      <c r="E79" s="8" t="s">
        <v>368</v>
      </c>
      <c r="F79" s="8"/>
      <c r="G79" s="8" t="s">
        <v>55</v>
      </c>
      <c r="H79" s="8" t="s">
        <v>47</v>
      </c>
      <c r="I79" s="8"/>
    </row>
    <row r="80" customFormat="false" ht="15" hidden="false" customHeight="false" outlineLevel="0" collapsed="false">
      <c r="A80" s="8" t="s">
        <v>369</v>
      </c>
      <c r="B80" s="8" t="s">
        <v>370</v>
      </c>
      <c r="C80" s="8" t="s">
        <v>371</v>
      </c>
      <c r="D80" s="8" t="s">
        <v>372</v>
      </c>
      <c r="E80" s="8" t="s">
        <v>373</v>
      </c>
      <c r="F80" s="8"/>
      <c r="G80" s="8" t="s">
        <v>51</v>
      </c>
      <c r="H80" s="8" t="s">
        <v>47</v>
      </c>
      <c r="I80" s="8"/>
    </row>
    <row r="81" customFormat="false" ht="15" hidden="false" customHeight="false" outlineLevel="0" collapsed="false">
      <c r="A81" s="8" t="s">
        <v>374</v>
      </c>
      <c r="B81" s="8" t="s">
        <v>375</v>
      </c>
      <c r="C81" s="8" t="s">
        <v>183</v>
      </c>
      <c r="D81" s="8" t="s">
        <v>376</v>
      </c>
      <c r="E81" s="8" t="s">
        <v>377</v>
      </c>
      <c r="F81" s="8"/>
      <c r="G81" s="8" t="s">
        <v>161</v>
      </c>
      <c r="H81" s="8" t="s">
        <v>47</v>
      </c>
      <c r="I81" s="8"/>
    </row>
    <row r="82" customFormat="false" ht="15" hidden="false" customHeight="false" outlineLevel="0" collapsed="false">
      <c r="A82" s="8" t="s">
        <v>378</v>
      </c>
      <c r="B82" s="8" t="s">
        <v>379</v>
      </c>
      <c r="C82" s="8" t="s">
        <v>380</v>
      </c>
      <c r="D82" s="8" t="s">
        <v>381</v>
      </c>
      <c r="E82" s="8" t="s">
        <v>382</v>
      </c>
      <c r="F82" s="8"/>
      <c r="G82" s="8" t="s">
        <v>115</v>
      </c>
      <c r="H82" s="8" t="s">
        <v>47</v>
      </c>
      <c r="I82" s="8"/>
    </row>
    <row r="83" customFormat="false" ht="15" hidden="false" customHeight="false" outlineLevel="0" collapsed="false">
      <c r="A83" s="8" t="s">
        <v>383</v>
      </c>
      <c r="B83" s="8" t="s">
        <v>384</v>
      </c>
      <c r="C83" s="8" t="s">
        <v>152</v>
      </c>
      <c r="D83" s="8" t="s">
        <v>385</v>
      </c>
      <c r="E83" s="8" t="s">
        <v>386</v>
      </c>
      <c r="F83" s="8"/>
      <c r="G83" s="8" t="s">
        <v>145</v>
      </c>
      <c r="H83" s="8" t="s">
        <v>47</v>
      </c>
      <c r="I83" s="8"/>
    </row>
    <row r="84" customFormat="false" ht="15" hidden="false" customHeight="false" outlineLevel="0" collapsed="false">
      <c r="A84" s="8" t="s">
        <v>387</v>
      </c>
      <c r="B84" s="8" t="s">
        <v>388</v>
      </c>
      <c r="C84" s="8" t="s">
        <v>389</v>
      </c>
      <c r="D84" s="8" t="s">
        <v>390</v>
      </c>
      <c r="E84" s="8" t="s">
        <v>391</v>
      </c>
      <c r="F84" s="8"/>
      <c r="G84" s="8" t="s">
        <v>145</v>
      </c>
      <c r="H84" s="8" t="s">
        <v>47</v>
      </c>
      <c r="I84" s="8"/>
    </row>
    <row r="85" customFormat="false" ht="15" hidden="false" customHeight="false" outlineLevel="0" collapsed="false">
      <c r="A85" s="8" t="s">
        <v>392</v>
      </c>
      <c r="B85" s="8" t="s">
        <v>393</v>
      </c>
      <c r="C85" s="8" t="s">
        <v>389</v>
      </c>
      <c r="D85" s="8" t="s">
        <v>394</v>
      </c>
      <c r="E85" s="8" t="s">
        <v>395</v>
      </c>
      <c r="F85" s="8"/>
      <c r="G85" s="8" t="s">
        <v>51</v>
      </c>
      <c r="H85" s="8" t="s">
        <v>47</v>
      </c>
      <c r="I85" s="8"/>
    </row>
    <row r="86" customFormat="false" ht="15" hidden="false" customHeight="false" outlineLevel="0" collapsed="false">
      <c r="A86" s="8" t="s">
        <v>396</v>
      </c>
      <c r="B86" s="8" t="s">
        <v>397</v>
      </c>
      <c r="C86" s="8" t="s">
        <v>380</v>
      </c>
      <c r="D86" s="8" t="s">
        <v>398</v>
      </c>
      <c r="E86" s="8" t="s">
        <v>399</v>
      </c>
      <c r="F86" s="8"/>
      <c r="G86" s="8" t="s">
        <v>55</v>
      </c>
      <c r="H86" s="8" t="s">
        <v>47</v>
      </c>
      <c r="I86" s="8"/>
    </row>
    <row r="87" customFormat="false" ht="15" hidden="false" customHeight="false" outlineLevel="0" collapsed="false">
      <c r="A87" s="8" t="s">
        <v>400</v>
      </c>
      <c r="B87" s="8" t="s">
        <v>401</v>
      </c>
      <c r="C87" s="8" t="s">
        <v>389</v>
      </c>
      <c r="D87" s="8" t="s">
        <v>402</v>
      </c>
      <c r="E87" s="8" t="s">
        <v>403</v>
      </c>
      <c r="F87" s="8"/>
      <c r="G87" s="8" t="s">
        <v>145</v>
      </c>
      <c r="H87" s="8" t="s">
        <v>47</v>
      </c>
      <c r="I87" s="8"/>
    </row>
    <row r="88" customFormat="false" ht="15" hidden="false" customHeight="false" outlineLevel="0" collapsed="false">
      <c r="A88" s="8" t="s">
        <v>404</v>
      </c>
      <c r="B88" s="8" t="s">
        <v>405</v>
      </c>
      <c r="C88" s="8" t="s">
        <v>389</v>
      </c>
      <c r="D88" s="8" t="s">
        <v>406</v>
      </c>
      <c r="E88" s="8" t="s">
        <v>407</v>
      </c>
      <c r="F88" s="8"/>
      <c r="G88" s="8" t="s">
        <v>155</v>
      </c>
      <c r="H88" s="8" t="s">
        <v>47</v>
      </c>
      <c r="I88" s="8"/>
    </row>
    <row r="89" customFormat="false" ht="15" hidden="false" customHeight="false" outlineLevel="0" collapsed="false">
      <c r="A89" s="8" t="s">
        <v>408</v>
      </c>
      <c r="B89" s="8" t="s">
        <v>409</v>
      </c>
      <c r="C89" s="8" t="s">
        <v>79</v>
      </c>
      <c r="D89" s="8" t="s">
        <v>410</v>
      </c>
      <c r="E89" s="8" t="s">
        <v>411</v>
      </c>
      <c r="F89" s="8"/>
      <c r="G89" s="8" t="s">
        <v>412</v>
      </c>
      <c r="H89" s="8" t="s">
        <v>47</v>
      </c>
      <c r="I89" s="8"/>
    </row>
    <row r="90" customFormat="false" ht="15" hidden="false" customHeight="false" outlineLevel="0" collapsed="false">
      <c r="A90" s="8" t="s">
        <v>413</v>
      </c>
      <c r="B90" s="8" t="s">
        <v>414</v>
      </c>
      <c r="C90" s="8" t="s">
        <v>112</v>
      </c>
      <c r="D90" s="8" t="s">
        <v>415</v>
      </c>
      <c r="E90" s="8" t="s">
        <v>416</v>
      </c>
      <c r="F90" s="8"/>
      <c r="G90" s="8" t="s">
        <v>115</v>
      </c>
      <c r="H90" s="8" t="s">
        <v>47</v>
      </c>
      <c r="I90" s="8"/>
    </row>
    <row r="91" customFormat="false" ht="15" hidden="false" customHeight="false" outlineLevel="0" collapsed="false">
      <c r="A91" s="8" t="s">
        <v>417</v>
      </c>
      <c r="B91" s="8" t="s">
        <v>418</v>
      </c>
      <c r="C91" s="8" t="s">
        <v>79</v>
      </c>
      <c r="D91" s="8" t="s">
        <v>419</v>
      </c>
      <c r="E91" s="8" t="s">
        <v>420</v>
      </c>
      <c r="F91" s="8"/>
      <c r="G91" s="8" t="s">
        <v>101</v>
      </c>
      <c r="H91" s="8" t="s">
        <v>47</v>
      </c>
      <c r="I91" s="8"/>
    </row>
    <row r="92" customFormat="false" ht="15" hidden="false" customHeight="false" outlineLevel="0" collapsed="false">
      <c r="A92" s="8" t="s">
        <v>421</v>
      </c>
      <c r="B92" s="8" t="s">
        <v>422</v>
      </c>
      <c r="C92" s="8" t="s">
        <v>79</v>
      </c>
      <c r="D92" s="8" t="s">
        <v>423</v>
      </c>
      <c r="E92" s="8" t="s">
        <v>424</v>
      </c>
      <c r="F92" s="8"/>
      <c r="G92" s="8" t="s">
        <v>425</v>
      </c>
      <c r="H92" s="8" t="s">
        <v>47</v>
      </c>
      <c r="I92" s="8"/>
    </row>
    <row r="93" customFormat="false" ht="15" hidden="false" customHeight="false" outlineLevel="0" collapsed="false">
      <c r="A93" s="8" t="s">
        <v>426</v>
      </c>
      <c r="B93" s="8" t="s">
        <v>427</v>
      </c>
      <c r="C93" s="8" t="s">
        <v>152</v>
      </c>
      <c r="D93" s="8" t="s">
        <v>428</v>
      </c>
      <c r="E93" s="8" t="s">
        <v>429</v>
      </c>
      <c r="F93" s="8"/>
      <c r="G93" s="8" t="s">
        <v>130</v>
      </c>
      <c r="H93" s="8" t="s">
        <v>47</v>
      </c>
      <c r="I93" s="8"/>
    </row>
    <row r="94" customFormat="false" ht="15" hidden="false" customHeight="false" outlineLevel="0" collapsed="false">
      <c r="A94" s="8" t="s">
        <v>430</v>
      </c>
      <c r="B94" s="8" t="s">
        <v>431</v>
      </c>
      <c r="C94" s="8" t="s">
        <v>43</v>
      </c>
      <c r="D94" s="8" t="s">
        <v>432</v>
      </c>
      <c r="E94" s="8" t="s">
        <v>433</v>
      </c>
      <c r="F94" s="8"/>
      <c r="G94" s="8" t="s">
        <v>109</v>
      </c>
      <c r="H94" s="8" t="s">
        <v>47</v>
      </c>
      <c r="I94" s="8"/>
    </row>
    <row r="95" customFormat="false" ht="15" hidden="false" customHeight="false" outlineLevel="0" collapsed="false">
      <c r="A95" s="8" t="s">
        <v>434</v>
      </c>
      <c r="B95" s="8" t="s">
        <v>435</v>
      </c>
      <c r="C95" s="8" t="s">
        <v>152</v>
      </c>
      <c r="D95" s="8" t="s">
        <v>436</v>
      </c>
      <c r="E95" s="8" t="s">
        <v>437</v>
      </c>
      <c r="F95" s="8"/>
      <c r="G95" s="8" t="s">
        <v>268</v>
      </c>
      <c r="H95" s="8" t="s">
        <v>47</v>
      </c>
      <c r="I95" s="8"/>
    </row>
    <row r="96" customFormat="false" ht="15" hidden="false" customHeight="false" outlineLevel="0" collapsed="false">
      <c r="A96" s="8" t="s">
        <v>438</v>
      </c>
      <c r="B96" s="8" t="s">
        <v>439</v>
      </c>
      <c r="C96" s="8" t="s">
        <v>152</v>
      </c>
      <c r="D96" s="8" t="s">
        <v>440</v>
      </c>
      <c r="E96" s="8" t="s">
        <v>441</v>
      </c>
      <c r="F96" s="8"/>
      <c r="G96" s="8" t="s">
        <v>145</v>
      </c>
      <c r="H96" s="8" t="s">
        <v>47</v>
      </c>
      <c r="I96" s="8"/>
    </row>
    <row r="97" customFormat="false" ht="15" hidden="false" customHeight="false" outlineLevel="0" collapsed="false">
      <c r="A97" s="8" t="s">
        <v>442</v>
      </c>
      <c r="B97" s="8" t="s">
        <v>443</v>
      </c>
      <c r="C97" s="8" t="s">
        <v>444</v>
      </c>
      <c r="D97" s="8" t="s">
        <v>445</v>
      </c>
      <c r="E97" s="8" t="s">
        <v>446</v>
      </c>
      <c r="F97" s="8"/>
      <c r="G97" s="8" t="s">
        <v>51</v>
      </c>
      <c r="H97" s="8" t="s">
        <v>47</v>
      </c>
      <c r="I97" s="8"/>
    </row>
    <row r="98" customFormat="false" ht="15" hidden="false" customHeight="false" outlineLevel="0" collapsed="false">
      <c r="A98" s="8" t="s">
        <v>447</v>
      </c>
      <c r="B98" s="8" t="s">
        <v>448</v>
      </c>
      <c r="C98" s="8" t="s">
        <v>90</v>
      </c>
      <c r="D98" s="8" t="s">
        <v>449</v>
      </c>
      <c r="E98" s="8" t="s">
        <v>450</v>
      </c>
      <c r="F98" s="8"/>
      <c r="G98" s="8" t="s">
        <v>145</v>
      </c>
      <c r="H98" s="8" t="s">
        <v>47</v>
      </c>
      <c r="I98" s="8"/>
    </row>
    <row r="99" customFormat="false" ht="15" hidden="false" customHeight="false" outlineLevel="0" collapsed="false">
      <c r="A99" s="8" t="s">
        <v>451</v>
      </c>
      <c r="B99" s="8" t="s">
        <v>452</v>
      </c>
      <c r="C99" s="8" t="s">
        <v>79</v>
      </c>
      <c r="D99" s="8" t="s">
        <v>394</v>
      </c>
      <c r="E99" s="8" t="s">
        <v>453</v>
      </c>
      <c r="F99" s="8"/>
      <c r="G99" s="8" t="s">
        <v>55</v>
      </c>
      <c r="H99" s="8" t="s">
        <v>47</v>
      </c>
      <c r="I99" s="8"/>
    </row>
    <row r="100" customFormat="false" ht="15" hidden="false" customHeight="false" outlineLevel="0" collapsed="false">
      <c r="A100" s="8" t="s">
        <v>454</v>
      </c>
      <c r="B100" s="8" t="s">
        <v>455</v>
      </c>
      <c r="C100" s="8" t="s">
        <v>152</v>
      </c>
      <c r="D100" s="8" t="s">
        <v>153</v>
      </c>
      <c r="E100" s="8" t="s">
        <v>456</v>
      </c>
      <c r="F100" s="8"/>
      <c r="G100" s="8" t="s">
        <v>59</v>
      </c>
      <c r="H100" s="8" t="s">
        <v>47</v>
      </c>
      <c r="I100" s="8"/>
    </row>
    <row r="101" customFormat="false" ht="15" hidden="false" customHeight="false" outlineLevel="0" collapsed="false">
      <c r="A101" s="8" t="s">
        <v>457</v>
      </c>
      <c r="B101" s="8" t="s">
        <v>458</v>
      </c>
      <c r="C101" s="8" t="s">
        <v>158</v>
      </c>
      <c r="D101" s="8" t="s">
        <v>459</v>
      </c>
      <c r="E101" s="8" t="s">
        <v>460</v>
      </c>
      <c r="F101" s="8"/>
      <c r="G101" s="8" t="s">
        <v>161</v>
      </c>
      <c r="H101" s="8" t="s">
        <v>47</v>
      </c>
      <c r="I101" s="8"/>
    </row>
    <row r="102" customFormat="false" ht="15" hidden="false" customHeight="false" outlineLevel="0" collapsed="false">
      <c r="A102" s="8" t="s">
        <v>461</v>
      </c>
      <c r="B102" s="8" t="s">
        <v>462</v>
      </c>
      <c r="C102" s="8" t="s">
        <v>389</v>
      </c>
      <c r="D102" s="8" t="s">
        <v>463</v>
      </c>
      <c r="E102" s="8" t="s">
        <v>464</v>
      </c>
      <c r="F102" s="8"/>
      <c r="G102" s="8" t="s">
        <v>46</v>
      </c>
      <c r="H102" s="8" t="s">
        <v>47</v>
      </c>
      <c r="I102" s="8"/>
    </row>
    <row r="103" customFormat="false" ht="15" hidden="false" customHeight="false" outlineLevel="0" collapsed="false">
      <c r="A103" s="8" t="s">
        <v>465</v>
      </c>
      <c r="B103" s="8" t="s">
        <v>466</v>
      </c>
      <c r="C103" s="8" t="s">
        <v>467</v>
      </c>
      <c r="D103" s="8" t="s">
        <v>468</v>
      </c>
      <c r="E103" s="8" t="s">
        <v>469</v>
      </c>
      <c r="F103" s="8"/>
      <c r="G103" s="8" t="s">
        <v>72</v>
      </c>
      <c r="H103" s="8" t="s">
        <v>47</v>
      </c>
      <c r="I103" s="8"/>
    </row>
    <row r="104" customFormat="false" ht="15" hidden="false" customHeight="false" outlineLevel="0" collapsed="false">
      <c r="A104" s="8" t="s">
        <v>470</v>
      </c>
      <c r="B104" s="8" t="s">
        <v>471</v>
      </c>
      <c r="C104" s="8" t="s">
        <v>152</v>
      </c>
      <c r="D104" s="8" t="s">
        <v>472</v>
      </c>
      <c r="E104" s="8" t="s">
        <v>473</v>
      </c>
      <c r="F104" s="8"/>
      <c r="G104" s="8" t="s">
        <v>72</v>
      </c>
      <c r="H104" s="8" t="s">
        <v>47</v>
      </c>
      <c r="I104" s="8"/>
    </row>
    <row r="105" customFormat="false" ht="15" hidden="false" customHeight="false" outlineLevel="0" collapsed="false">
      <c r="A105" s="8" t="s">
        <v>474</v>
      </c>
      <c r="B105" s="8" t="s">
        <v>475</v>
      </c>
      <c r="C105" s="8" t="s">
        <v>62</v>
      </c>
      <c r="D105" s="8" t="s">
        <v>476</v>
      </c>
      <c r="E105" s="8" t="s">
        <v>477</v>
      </c>
      <c r="F105" s="8"/>
      <c r="G105" s="8" t="s">
        <v>155</v>
      </c>
      <c r="H105" s="8" t="s">
        <v>47</v>
      </c>
      <c r="I105" s="8"/>
    </row>
    <row r="106" customFormat="false" ht="15" hidden="false" customHeight="false" outlineLevel="0" collapsed="false">
      <c r="A106" s="8" t="s">
        <v>478</v>
      </c>
      <c r="B106" s="8" t="s">
        <v>479</v>
      </c>
      <c r="C106" s="8" t="s">
        <v>62</v>
      </c>
      <c r="D106" s="8" t="s">
        <v>476</v>
      </c>
      <c r="E106" s="8" t="s">
        <v>480</v>
      </c>
      <c r="F106" s="8"/>
      <c r="G106" s="8" t="s">
        <v>481</v>
      </c>
      <c r="H106" s="8" t="s">
        <v>47</v>
      </c>
      <c r="I106" s="8"/>
    </row>
    <row r="107" customFormat="false" ht="15" hidden="false" customHeight="false" outlineLevel="0" collapsed="false">
      <c r="A107" s="8" t="s">
        <v>482</v>
      </c>
      <c r="B107" s="8" t="s">
        <v>483</v>
      </c>
      <c r="C107" s="8" t="s">
        <v>62</v>
      </c>
      <c r="D107" s="8" t="s">
        <v>476</v>
      </c>
      <c r="E107" s="8" t="s">
        <v>484</v>
      </c>
      <c r="F107" s="8"/>
      <c r="G107" s="8" t="s">
        <v>485</v>
      </c>
      <c r="H107" s="8" t="s">
        <v>47</v>
      </c>
      <c r="I107" s="8"/>
    </row>
    <row r="108" customFormat="false" ht="15" hidden="false" customHeight="false" outlineLevel="0" collapsed="false">
      <c r="A108" s="8" t="s">
        <v>486</v>
      </c>
      <c r="B108" s="8" t="s">
        <v>487</v>
      </c>
      <c r="C108" s="8" t="s">
        <v>62</v>
      </c>
      <c r="D108" s="8" t="s">
        <v>328</v>
      </c>
      <c r="E108" s="8" t="s">
        <v>488</v>
      </c>
      <c r="F108" s="8"/>
      <c r="G108" s="8" t="s">
        <v>65</v>
      </c>
      <c r="H108" s="8" t="s">
        <v>47</v>
      </c>
      <c r="I108" s="8"/>
    </row>
    <row r="109" customFormat="false" ht="15" hidden="false" customHeight="false" outlineLevel="0" collapsed="false">
      <c r="A109" s="8" t="s">
        <v>489</v>
      </c>
      <c r="B109" s="8" t="s">
        <v>490</v>
      </c>
      <c r="C109" s="8" t="s">
        <v>62</v>
      </c>
      <c r="D109" s="8" t="s">
        <v>491</v>
      </c>
      <c r="E109" s="8" t="s">
        <v>492</v>
      </c>
      <c r="F109" s="8"/>
      <c r="G109" s="8" t="s">
        <v>145</v>
      </c>
      <c r="H109" s="8" t="s">
        <v>47</v>
      </c>
      <c r="I109" s="8"/>
    </row>
    <row r="110" customFormat="false" ht="15" hidden="false" customHeight="false" outlineLevel="0" collapsed="false">
      <c r="A110" s="8" t="s">
        <v>493</v>
      </c>
      <c r="B110" s="8" t="s">
        <v>494</v>
      </c>
      <c r="C110" s="8" t="s">
        <v>62</v>
      </c>
      <c r="D110" s="8" t="s">
        <v>491</v>
      </c>
      <c r="E110" s="8" t="s">
        <v>495</v>
      </c>
      <c r="F110" s="8"/>
      <c r="G110" s="8" t="s">
        <v>145</v>
      </c>
      <c r="H110" s="8" t="s">
        <v>47</v>
      </c>
      <c r="I110" s="8"/>
    </row>
    <row r="111" customFormat="false" ht="15" hidden="false" customHeight="false" outlineLevel="0" collapsed="false">
      <c r="A111" s="8" t="s">
        <v>496</v>
      </c>
      <c r="B111" s="8" t="s">
        <v>497</v>
      </c>
      <c r="C111" s="8" t="s">
        <v>62</v>
      </c>
      <c r="D111" s="8" t="s">
        <v>491</v>
      </c>
      <c r="E111" s="8" t="s">
        <v>498</v>
      </c>
      <c r="F111" s="8"/>
      <c r="G111" s="8" t="s">
        <v>101</v>
      </c>
      <c r="H111" s="8" t="s">
        <v>47</v>
      </c>
      <c r="I111" s="8"/>
    </row>
    <row r="112" customFormat="false" ht="15" hidden="false" customHeight="false" outlineLevel="0" collapsed="false">
      <c r="A112" s="8" t="s">
        <v>499</v>
      </c>
      <c r="B112" s="8" t="s">
        <v>500</v>
      </c>
      <c r="C112" s="8" t="s">
        <v>62</v>
      </c>
      <c r="D112" s="8" t="s">
        <v>271</v>
      </c>
      <c r="E112" s="8" t="s">
        <v>501</v>
      </c>
      <c r="F112" s="8"/>
      <c r="G112" s="8" t="s">
        <v>65</v>
      </c>
      <c r="H112" s="8" t="s">
        <v>47</v>
      </c>
      <c r="I112" s="8"/>
    </row>
    <row r="113" customFormat="false" ht="15" hidden="false" customHeight="false" outlineLevel="0" collapsed="false">
      <c r="A113" s="8" t="s">
        <v>502</v>
      </c>
      <c r="B113" s="8" t="s">
        <v>503</v>
      </c>
      <c r="C113" s="8" t="s">
        <v>43</v>
      </c>
      <c r="D113" s="8" t="s">
        <v>44</v>
      </c>
      <c r="E113" s="8" t="s">
        <v>504</v>
      </c>
      <c r="F113" s="8"/>
      <c r="G113" s="8" t="s">
        <v>481</v>
      </c>
      <c r="H113" s="8" t="s">
        <v>47</v>
      </c>
      <c r="I113" s="8"/>
    </row>
    <row r="114" customFormat="false" ht="15" hidden="false" customHeight="false" outlineLevel="0" collapsed="false">
      <c r="A114" s="8" t="s">
        <v>505</v>
      </c>
      <c r="B114" s="8" t="s">
        <v>506</v>
      </c>
      <c r="C114" s="8" t="s">
        <v>43</v>
      </c>
      <c r="D114" s="8" t="s">
        <v>44</v>
      </c>
      <c r="E114" s="8" t="s">
        <v>507</v>
      </c>
      <c r="F114" s="8"/>
      <c r="G114" s="8" t="s">
        <v>508</v>
      </c>
      <c r="H114" s="8" t="s">
        <v>47</v>
      </c>
      <c r="I114" s="8"/>
    </row>
    <row r="115" customFormat="false" ht="15" hidden="false" customHeight="false" outlineLevel="0" collapsed="false">
      <c r="A115" s="8" t="s">
        <v>509</v>
      </c>
      <c r="B115" s="8" t="s">
        <v>510</v>
      </c>
      <c r="C115" s="8" t="s">
        <v>43</v>
      </c>
      <c r="D115" s="8" t="s">
        <v>44</v>
      </c>
      <c r="E115" s="8" t="s">
        <v>511</v>
      </c>
      <c r="F115" s="8"/>
      <c r="G115" s="8" t="s">
        <v>155</v>
      </c>
      <c r="H115" s="8" t="s">
        <v>47</v>
      </c>
      <c r="I115" s="8"/>
    </row>
    <row r="116" customFormat="false" ht="15" hidden="false" customHeight="false" outlineLevel="0" collapsed="false">
      <c r="A116" s="9" t="s">
        <v>10</v>
      </c>
      <c r="B116" s="9" t="s">
        <v>11</v>
      </c>
      <c r="C116" s="9" t="s">
        <v>43</v>
      </c>
      <c r="D116" s="9" t="s">
        <v>44</v>
      </c>
      <c r="E116" s="9" t="s">
        <v>12</v>
      </c>
      <c r="F116" s="9"/>
      <c r="G116" s="9" t="s">
        <v>46</v>
      </c>
      <c r="H116" s="9" t="s">
        <v>47</v>
      </c>
      <c r="I116" s="9" t="s">
        <v>9</v>
      </c>
    </row>
    <row r="117" customFormat="false" ht="15" hidden="false" customHeight="false" outlineLevel="0" collapsed="false">
      <c r="A117" s="8" t="s">
        <v>512</v>
      </c>
      <c r="B117" s="8" t="s">
        <v>513</v>
      </c>
      <c r="C117" s="8" t="s">
        <v>62</v>
      </c>
      <c r="D117" s="8" t="s">
        <v>351</v>
      </c>
      <c r="E117" s="8" t="s">
        <v>514</v>
      </c>
      <c r="F117" s="8"/>
      <c r="G117" s="8" t="s">
        <v>76</v>
      </c>
      <c r="H117" s="8" t="s">
        <v>47</v>
      </c>
      <c r="I117" s="8"/>
    </row>
    <row r="118" customFormat="false" ht="15" hidden="false" customHeight="false" outlineLevel="0" collapsed="false">
      <c r="A118" s="8" t="s">
        <v>515</v>
      </c>
      <c r="B118" s="8" t="s">
        <v>516</v>
      </c>
      <c r="C118" s="8" t="s">
        <v>62</v>
      </c>
      <c r="D118" s="8" t="s">
        <v>351</v>
      </c>
      <c r="E118" s="8" t="s">
        <v>517</v>
      </c>
      <c r="F118" s="8"/>
      <c r="G118" s="8" t="s">
        <v>76</v>
      </c>
      <c r="H118" s="8" t="s">
        <v>47</v>
      </c>
      <c r="I118" s="8"/>
    </row>
    <row r="119" customFormat="false" ht="15" hidden="false" customHeight="false" outlineLevel="0" collapsed="false">
      <c r="A119" s="8" t="s">
        <v>518</v>
      </c>
      <c r="B119" s="8" t="s">
        <v>519</v>
      </c>
      <c r="C119" s="8" t="s">
        <v>123</v>
      </c>
      <c r="D119" s="8" t="s">
        <v>520</v>
      </c>
      <c r="E119" s="8" t="s">
        <v>521</v>
      </c>
      <c r="F119" s="8"/>
      <c r="G119" s="8" t="s">
        <v>55</v>
      </c>
      <c r="H119" s="8" t="s">
        <v>47</v>
      </c>
      <c r="I119" s="8"/>
    </row>
    <row r="120" customFormat="false" ht="15" hidden="false" customHeight="false" outlineLevel="0" collapsed="false">
      <c r="A120" s="8" t="s">
        <v>522</v>
      </c>
      <c r="B120" s="8" t="s">
        <v>523</v>
      </c>
      <c r="C120" s="8" t="s">
        <v>62</v>
      </c>
      <c r="D120" s="8" t="s">
        <v>351</v>
      </c>
      <c r="E120" s="8" t="s">
        <v>76</v>
      </c>
      <c r="F120" s="8"/>
      <c r="G120" s="8" t="s">
        <v>76</v>
      </c>
      <c r="H120" s="8" t="s">
        <v>47</v>
      </c>
      <c r="I120" s="8"/>
    </row>
    <row r="121" customFormat="false" ht="15" hidden="false" customHeight="false" outlineLevel="0" collapsed="false">
      <c r="A121" s="8" t="s">
        <v>524</v>
      </c>
      <c r="B121" s="8" t="s">
        <v>525</v>
      </c>
      <c r="C121" s="8" t="s">
        <v>43</v>
      </c>
      <c r="D121" s="8" t="s">
        <v>331</v>
      </c>
      <c r="E121" s="8" t="s">
        <v>526</v>
      </c>
      <c r="F121" s="8"/>
      <c r="G121" s="8" t="s">
        <v>51</v>
      </c>
      <c r="H121" s="8" t="s">
        <v>47</v>
      </c>
      <c r="I121" s="8"/>
    </row>
    <row r="122" customFormat="false" ht="15" hidden="false" customHeight="false" outlineLevel="0" collapsed="false">
      <c r="A122" s="8" t="s">
        <v>527</v>
      </c>
      <c r="B122" s="8" t="s">
        <v>528</v>
      </c>
      <c r="C122" s="8" t="s">
        <v>62</v>
      </c>
      <c r="D122" s="8" t="s">
        <v>351</v>
      </c>
      <c r="E122" s="8" t="s">
        <v>529</v>
      </c>
      <c r="F122" s="8"/>
      <c r="G122" s="8" t="s">
        <v>76</v>
      </c>
      <c r="H122" s="8" t="s">
        <v>47</v>
      </c>
      <c r="I122" s="8"/>
    </row>
    <row r="123" customFormat="false" ht="15" hidden="false" customHeight="false" outlineLevel="0" collapsed="false">
      <c r="A123" s="8" t="s">
        <v>530</v>
      </c>
      <c r="B123" s="8" t="s">
        <v>531</v>
      </c>
      <c r="C123" s="8" t="s">
        <v>62</v>
      </c>
      <c r="D123" s="8" t="s">
        <v>351</v>
      </c>
      <c r="E123" s="8" t="s">
        <v>532</v>
      </c>
      <c r="F123" s="8"/>
      <c r="G123" s="8" t="s">
        <v>76</v>
      </c>
      <c r="H123" s="8" t="s">
        <v>47</v>
      </c>
      <c r="I123" s="8"/>
    </row>
    <row r="124" customFormat="false" ht="15" hidden="false" customHeight="false" outlineLevel="0" collapsed="false">
      <c r="A124" s="8" t="s">
        <v>533</v>
      </c>
      <c r="B124" s="8" t="s">
        <v>534</v>
      </c>
      <c r="C124" s="8" t="s">
        <v>112</v>
      </c>
      <c r="D124" s="8" t="s">
        <v>535</v>
      </c>
      <c r="E124" s="8" t="s">
        <v>536</v>
      </c>
      <c r="F124" s="8"/>
      <c r="G124" s="8" t="s">
        <v>115</v>
      </c>
      <c r="H124" s="8" t="s">
        <v>47</v>
      </c>
      <c r="I124" s="8"/>
    </row>
    <row r="125" customFormat="false" ht="15" hidden="false" customHeight="false" outlineLevel="0" collapsed="false">
      <c r="A125" s="10" t="s">
        <v>25</v>
      </c>
      <c r="B125" s="10" t="s">
        <v>26</v>
      </c>
      <c r="C125" s="10" t="s">
        <v>43</v>
      </c>
      <c r="D125" s="10" t="s">
        <v>44</v>
      </c>
      <c r="E125" s="10"/>
      <c r="F125" s="10"/>
      <c r="G125" s="10" t="s">
        <v>72</v>
      </c>
      <c r="H125" s="10" t="s">
        <v>47</v>
      </c>
      <c r="I125" s="10" t="s">
        <v>24</v>
      </c>
    </row>
    <row r="126" customFormat="false" ht="15" hidden="false" customHeight="false" outlineLevel="0" collapsed="false">
      <c r="A126" s="8" t="s">
        <v>537</v>
      </c>
      <c r="B126" s="8" t="s">
        <v>538</v>
      </c>
      <c r="C126" s="8" t="s">
        <v>539</v>
      </c>
      <c r="D126" s="8" t="s">
        <v>540</v>
      </c>
      <c r="E126" s="8" t="s">
        <v>541</v>
      </c>
      <c r="F126" s="8"/>
      <c r="G126" s="8" t="s">
        <v>45</v>
      </c>
      <c r="H126" s="8" t="s">
        <v>47</v>
      </c>
      <c r="I126" s="8"/>
    </row>
    <row r="127" customFormat="false" ht="15" hidden="false" customHeight="false" outlineLevel="0" collapsed="false">
      <c r="A127" s="8" t="s">
        <v>542</v>
      </c>
      <c r="B127" s="8" t="s">
        <v>543</v>
      </c>
      <c r="C127" s="8" t="s">
        <v>467</v>
      </c>
      <c r="D127" s="8" t="s">
        <v>544</v>
      </c>
      <c r="E127" s="8" t="s">
        <v>545</v>
      </c>
      <c r="F127" s="8"/>
      <c r="G127" s="8" t="s">
        <v>546</v>
      </c>
      <c r="H127" s="8" t="s">
        <v>47</v>
      </c>
      <c r="I127" s="8"/>
    </row>
    <row r="128" customFormat="false" ht="15" hidden="false" customHeight="false" outlineLevel="0" collapsed="false">
      <c r="A128" s="8" t="s">
        <v>547</v>
      </c>
      <c r="B128" s="8" t="s">
        <v>548</v>
      </c>
      <c r="C128" s="8" t="s">
        <v>467</v>
      </c>
      <c r="D128" s="8" t="s">
        <v>544</v>
      </c>
      <c r="E128" s="8" t="s">
        <v>549</v>
      </c>
      <c r="F128" s="8"/>
      <c r="G128" s="8" t="s">
        <v>546</v>
      </c>
      <c r="H128" s="8" t="s">
        <v>47</v>
      </c>
      <c r="I128" s="8"/>
    </row>
    <row r="129" customFormat="false" ht="15" hidden="false" customHeight="false" outlineLevel="0" collapsed="false">
      <c r="A129" s="8" t="s">
        <v>550</v>
      </c>
      <c r="B129" s="8" t="s">
        <v>551</v>
      </c>
      <c r="C129" s="8" t="s">
        <v>467</v>
      </c>
      <c r="D129" s="8" t="s">
        <v>544</v>
      </c>
      <c r="E129" s="8" t="s">
        <v>552</v>
      </c>
      <c r="F129" s="8"/>
      <c r="G129" s="8" t="s">
        <v>546</v>
      </c>
      <c r="H129" s="8" t="s">
        <v>47</v>
      </c>
      <c r="I129" s="8"/>
    </row>
    <row r="130" customFormat="false" ht="15" hidden="false" customHeight="false" outlineLevel="0" collapsed="false">
      <c r="A130" s="8" t="s">
        <v>553</v>
      </c>
      <c r="B130" s="8" t="s">
        <v>554</v>
      </c>
      <c r="C130" s="8" t="s">
        <v>20</v>
      </c>
      <c r="D130" s="8" t="s">
        <v>555</v>
      </c>
      <c r="E130" s="8" t="s">
        <v>556</v>
      </c>
      <c r="F130" s="8"/>
      <c r="G130" s="8" t="s">
        <v>546</v>
      </c>
      <c r="H130" s="8" t="s">
        <v>47</v>
      </c>
      <c r="I130" s="8"/>
    </row>
    <row r="131" customFormat="false" ht="15" hidden="false" customHeight="false" outlineLevel="0" collapsed="false">
      <c r="A131" s="8" t="s">
        <v>557</v>
      </c>
      <c r="B131" s="8" t="s">
        <v>558</v>
      </c>
      <c r="C131" s="8" t="s">
        <v>559</v>
      </c>
      <c r="D131" s="8" t="s">
        <v>560</v>
      </c>
      <c r="E131" s="8" t="s">
        <v>561</v>
      </c>
      <c r="F131" s="8"/>
      <c r="G131" s="8" t="s">
        <v>562</v>
      </c>
      <c r="H131" s="8" t="s">
        <v>47</v>
      </c>
      <c r="I131" s="8"/>
    </row>
    <row r="132" customFormat="false" ht="15" hidden="false" customHeight="false" outlineLevel="0" collapsed="false">
      <c r="A132" s="8" t="s">
        <v>563</v>
      </c>
      <c r="B132" s="8" t="s">
        <v>564</v>
      </c>
      <c r="C132" s="8" t="s">
        <v>36</v>
      </c>
      <c r="D132" s="8" t="s">
        <v>565</v>
      </c>
      <c r="E132" s="8" t="s">
        <v>566</v>
      </c>
      <c r="F132" s="8"/>
      <c r="G132" s="8" t="s">
        <v>325</v>
      </c>
      <c r="H132" s="8" t="s">
        <v>47</v>
      </c>
      <c r="I132" s="8"/>
    </row>
    <row r="133" customFormat="false" ht="15" hidden="false" customHeight="false" outlineLevel="0" collapsed="false">
      <c r="A133" s="8" t="s">
        <v>567</v>
      </c>
      <c r="B133" s="8" t="s">
        <v>568</v>
      </c>
      <c r="C133" s="8" t="s">
        <v>539</v>
      </c>
      <c r="D133" s="8" t="s">
        <v>569</v>
      </c>
      <c r="E133" s="8" t="s">
        <v>570</v>
      </c>
      <c r="F133" s="8"/>
      <c r="G133" s="8" t="s">
        <v>571</v>
      </c>
      <c r="H133" s="8" t="s">
        <v>47</v>
      </c>
      <c r="I133" s="8"/>
    </row>
    <row r="134" customFormat="false" ht="15" hidden="false" customHeight="false" outlineLevel="0" collapsed="false">
      <c r="A134" s="8" t="s">
        <v>572</v>
      </c>
      <c r="B134" s="8" t="s">
        <v>573</v>
      </c>
      <c r="C134" s="8" t="s">
        <v>539</v>
      </c>
      <c r="D134" s="8" t="s">
        <v>574</v>
      </c>
      <c r="E134" s="8" t="s">
        <v>575</v>
      </c>
      <c r="F134" s="8"/>
      <c r="G134" s="8" t="s">
        <v>571</v>
      </c>
      <c r="H134" s="8" t="s">
        <v>47</v>
      </c>
      <c r="I134" s="8"/>
    </row>
    <row r="135" customFormat="false" ht="15" hidden="false" customHeight="false" outlineLevel="0" collapsed="false">
      <c r="A135" s="8" t="s">
        <v>576</v>
      </c>
      <c r="B135" s="8" t="s">
        <v>577</v>
      </c>
      <c r="C135" s="8" t="s">
        <v>539</v>
      </c>
      <c r="D135" s="8" t="s">
        <v>574</v>
      </c>
      <c r="E135" s="8" t="s">
        <v>578</v>
      </c>
      <c r="F135" s="8"/>
      <c r="G135" s="8" t="s">
        <v>115</v>
      </c>
      <c r="H135" s="8" t="s">
        <v>47</v>
      </c>
      <c r="I135" s="8"/>
    </row>
    <row r="136" customFormat="false" ht="15" hidden="false" customHeight="false" outlineLevel="0" collapsed="false">
      <c r="A136" s="8" t="s">
        <v>579</v>
      </c>
      <c r="B136" s="8" t="s">
        <v>580</v>
      </c>
      <c r="C136" s="8" t="s">
        <v>539</v>
      </c>
      <c r="D136" s="8" t="s">
        <v>581</v>
      </c>
      <c r="E136" s="8" t="s">
        <v>582</v>
      </c>
      <c r="F136" s="8"/>
      <c r="G136" s="8" t="s">
        <v>546</v>
      </c>
      <c r="H136" s="8" t="s">
        <v>47</v>
      </c>
      <c r="I136" s="8"/>
    </row>
    <row r="137" customFormat="false" ht="15" hidden="false" customHeight="false" outlineLevel="0" collapsed="false">
      <c r="A137" s="8" t="s">
        <v>583</v>
      </c>
      <c r="B137" s="8" t="s">
        <v>584</v>
      </c>
      <c r="C137" s="8" t="s">
        <v>539</v>
      </c>
      <c r="D137" s="8" t="s">
        <v>585</v>
      </c>
      <c r="E137" s="8" t="s">
        <v>586</v>
      </c>
      <c r="F137" s="8"/>
      <c r="G137" s="8" t="s">
        <v>155</v>
      </c>
      <c r="H137" s="8" t="s">
        <v>47</v>
      </c>
      <c r="I137" s="8"/>
    </row>
    <row r="138" customFormat="false" ht="15" hidden="false" customHeight="false" outlineLevel="0" collapsed="false">
      <c r="A138" s="8" t="s">
        <v>587</v>
      </c>
      <c r="B138" s="8" t="s">
        <v>588</v>
      </c>
      <c r="C138" s="8" t="s">
        <v>390</v>
      </c>
      <c r="D138" s="8" t="s">
        <v>589</v>
      </c>
      <c r="E138" s="8" t="s">
        <v>590</v>
      </c>
      <c r="F138" s="8"/>
      <c r="G138" s="8" t="s">
        <v>591</v>
      </c>
      <c r="H138" s="8" t="s">
        <v>47</v>
      </c>
      <c r="I138" s="8"/>
    </row>
    <row r="139" customFormat="false" ht="15" hidden="false" customHeight="false" outlineLevel="0" collapsed="false">
      <c r="A139" s="8" t="s">
        <v>592</v>
      </c>
      <c r="B139" s="8" t="s">
        <v>593</v>
      </c>
      <c r="C139" s="8" t="s">
        <v>20</v>
      </c>
      <c r="D139" s="8" t="s">
        <v>216</v>
      </c>
      <c r="E139" s="8" t="s">
        <v>594</v>
      </c>
      <c r="F139" s="8"/>
      <c r="G139" s="8" t="s">
        <v>591</v>
      </c>
      <c r="H139" s="8" t="s">
        <v>47</v>
      </c>
      <c r="I139" s="8"/>
    </row>
    <row r="140" customFormat="false" ht="15" hidden="false" customHeight="false" outlineLevel="0" collapsed="false">
      <c r="A140" s="8" t="s">
        <v>595</v>
      </c>
      <c r="B140" s="8" t="s">
        <v>596</v>
      </c>
      <c r="C140" s="8" t="s">
        <v>239</v>
      </c>
      <c r="D140" s="8" t="s">
        <v>597</v>
      </c>
      <c r="E140" s="8" t="s">
        <v>598</v>
      </c>
      <c r="F140" s="8"/>
      <c r="G140" s="8" t="s">
        <v>546</v>
      </c>
      <c r="H140" s="8" t="s">
        <v>47</v>
      </c>
      <c r="I140" s="8"/>
    </row>
    <row r="141" customFormat="false" ht="15" hidden="false" customHeight="false" outlineLevel="0" collapsed="false">
      <c r="A141" s="8" t="s">
        <v>599</v>
      </c>
      <c r="B141" s="8" t="s">
        <v>600</v>
      </c>
      <c r="C141" s="8" t="s">
        <v>229</v>
      </c>
      <c r="D141" s="8" t="s">
        <v>601</v>
      </c>
      <c r="E141" s="8" t="s">
        <v>602</v>
      </c>
      <c r="F141" s="8"/>
      <c r="G141" s="8" t="s">
        <v>603</v>
      </c>
      <c r="H141" s="8" t="s">
        <v>47</v>
      </c>
      <c r="I141" s="8"/>
    </row>
    <row r="142" customFormat="false" ht="15" hidden="false" customHeight="false" outlineLevel="0" collapsed="false">
      <c r="A142" s="8" t="s">
        <v>604</v>
      </c>
      <c r="B142" s="8" t="s">
        <v>605</v>
      </c>
      <c r="C142" s="8" t="s">
        <v>380</v>
      </c>
      <c r="D142" s="8" t="s">
        <v>606</v>
      </c>
      <c r="E142" s="8" t="s">
        <v>607</v>
      </c>
      <c r="F142" s="8"/>
      <c r="G142" s="8" t="s">
        <v>325</v>
      </c>
      <c r="H142" s="8" t="s">
        <v>47</v>
      </c>
      <c r="I142" s="8"/>
    </row>
    <row r="143" customFormat="false" ht="15" hidden="false" customHeight="false" outlineLevel="0" collapsed="false">
      <c r="A143" s="8" t="s">
        <v>608</v>
      </c>
      <c r="B143" s="8" t="s">
        <v>609</v>
      </c>
      <c r="C143" s="8" t="s">
        <v>43</v>
      </c>
      <c r="D143" s="8" t="s">
        <v>610</v>
      </c>
      <c r="E143" s="8" t="s">
        <v>611</v>
      </c>
      <c r="F143" s="8"/>
      <c r="G143" s="8" t="s">
        <v>612</v>
      </c>
      <c r="H143" s="8" t="s">
        <v>47</v>
      </c>
      <c r="I143" s="8"/>
    </row>
    <row r="144" customFormat="false" ht="15" hidden="false" customHeight="false" outlineLevel="0" collapsed="false">
      <c r="A144" s="8" t="s">
        <v>613</v>
      </c>
      <c r="B144" s="8" t="s">
        <v>614</v>
      </c>
      <c r="C144" s="8" t="s">
        <v>43</v>
      </c>
      <c r="D144" s="8" t="s">
        <v>615</v>
      </c>
      <c r="E144" s="8" t="s">
        <v>616</v>
      </c>
      <c r="F144" s="8"/>
      <c r="G144" s="8" t="s">
        <v>546</v>
      </c>
      <c r="H144" s="8" t="s">
        <v>47</v>
      </c>
      <c r="I144" s="8"/>
    </row>
    <row r="145" customFormat="false" ht="15" hidden="false" customHeight="false" outlineLevel="0" collapsed="false">
      <c r="A145" s="8" t="s">
        <v>617</v>
      </c>
      <c r="B145" s="8" t="s">
        <v>618</v>
      </c>
      <c r="C145" s="8" t="s">
        <v>43</v>
      </c>
      <c r="D145" s="8" t="s">
        <v>619</v>
      </c>
      <c r="E145" s="8" t="s">
        <v>620</v>
      </c>
      <c r="F145" s="8"/>
      <c r="G145" s="8" t="s">
        <v>612</v>
      </c>
      <c r="H145" s="8" t="s">
        <v>47</v>
      </c>
      <c r="I145" s="8"/>
    </row>
    <row r="146" customFormat="false" ht="15" hidden="false" customHeight="false" outlineLevel="0" collapsed="false">
      <c r="A146" s="8" t="s">
        <v>621</v>
      </c>
      <c r="B146" s="8" t="s">
        <v>622</v>
      </c>
      <c r="C146" s="8" t="s">
        <v>43</v>
      </c>
      <c r="D146" s="8" t="s">
        <v>623</v>
      </c>
      <c r="E146" s="8" t="s">
        <v>624</v>
      </c>
      <c r="F146" s="8"/>
      <c r="G146" s="8" t="s">
        <v>625</v>
      </c>
      <c r="H146" s="8" t="s">
        <v>47</v>
      </c>
      <c r="I146" s="8"/>
    </row>
    <row r="147" customFormat="false" ht="15" hidden="false" customHeight="false" outlineLevel="0" collapsed="false">
      <c r="A147" s="8" t="s">
        <v>626</v>
      </c>
      <c r="B147" s="8" t="s">
        <v>627</v>
      </c>
      <c r="C147" s="8" t="s">
        <v>43</v>
      </c>
      <c r="D147" s="8" t="s">
        <v>623</v>
      </c>
      <c r="E147" s="8" t="s">
        <v>628</v>
      </c>
      <c r="F147" s="8"/>
      <c r="G147" s="8" t="s">
        <v>629</v>
      </c>
      <c r="H147" s="8" t="s">
        <v>47</v>
      </c>
      <c r="I147" s="8"/>
    </row>
    <row r="148" customFormat="false" ht="15" hidden="false" customHeight="false" outlineLevel="0" collapsed="false">
      <c r="A148" s="8" t="s">
        <v>630</v>
      </c>
      <c r="B148" s="8" t="s">
        <v>631</v>
      </c>
      <c r="C148" s="8" t="s">
        <v>43</v>
      </c>
      <c r="D148" s="8" t="s">
        <v>615</v>
      </c>
      <c r="E148" s="8" t="s">
        <v>632</v>
      </c>
      <c r="F148" s="8"/>
      <c r="G148" s="8" t="s">
        <v>633</v>
      </c>
      <c r="H148" s="8" t="s">
        <v>47</v>
      </c>
      <c r="I148" s="8"/>
    </row>
    <row r="149" customFormat="false" ht="15" hidden="false" customHeight="false" outlineLevel="0" collapsed="false">
      <c r="A149" s="8" t="s">
        <v>634</v>
      </c>
      <c r="B149" s="8" t="s">
        <v>635</v>
      </c>
      <c r="C149" s="8" t="s">
        <v>43</v>
      </c>
      <c r="D149" s="8" t="s">
        <v>623</v>
      </c>
      <c r="E149" s="8" t="s">
        <v>636</v>
      </c>
      <c r="F149" s="8"/>
      <c r="G149" s="8" t="s">
        <v>603</v>
      </c>
      <c r="H149" s="8" t="s">
        <v>47</v>
      </c>
      <c r="I149" s="8"/>
    </row>
    <row r="150" customFormat="false" ht="15" hidden="false" customHeight="false" outlineLevel="0" collapsed="false">
      <c r="A150" s="8" t="s">
        <v>637</v>
      </c>
      <c r="B150" s="8" t="s">
        <v>638</v>
      </c>
      <c r="C150" s="8" t="s">
        <v>43</v>
      </c>
      <c r="D150" s="8" t="s">
        <v>623</v>
      </c>
      <c r="E150" s="8" t="s">
        <v>639</v>
      </c>
      <c r="F150" s="8"/>
      <c r="G150" s="8" t="s">
        <v>640</v>
      </c>
      <c r="H150" s="8" t="s">
        <v>47</v>
      </c>
      <c r="I150" s="8"/>
    </row>
    <row r="151" customFormat="false" ht="15" hidden="false" customHeight="false" outlineLevel="0" collapsed="false">
      <c r="A151" s="8" t="s">
        <v>641</v>
      </c>
      <c r="B151" s="8" t="s">
        <v>642</v>
      </c>
      <c r="C151" s="8" t="s">
        <v>43</v>
      </c>
      <c r="D151" s="8" t="s">
        <v>615</v>
      </c>
      <c r="E151" s="8" t="s">
        <v>643</v>
      </c>
      <c r="F151" s="8"/>
      <c r="G151" s="8" t="s">
        <v>625</v>
      </c>
      <c r="H151" s="8" t="s">
        <v>47</v>
      </c>
      <c r="I151" s="8"/>
    </row>
    <row r="152" customFormat="false" ht="15" hidden="false" customHeight="false" outlineLevel="0" collapsed="false">
      <c r="A152" s="8" t="s">
        <v>644</v>
      </c>
      <c r="B152" s="8" t="s">
        <v>645</v>
      </c>
      <c r="C152" s="8" t="s">
        <v>43</v>
      </c>
      <c r="D152" s="8" t="s">
        <v>36</v>
      </c>
      <c r="E152" s="8" t="s">
        <v>646</v>
      </c>
      <c r="F152" s="8"/>
      <c r="G152" s="8" t="s">
        <v>546</v>
      </c>
      <c r="H152" s="8" t="s">
        <v>47</v>
      </c>
      <c r="I152" s="8"/>
    </row>
    <row r="153" customFormat="false" ht="15" hidden="false" customHeight="false" outlineLevel="0" collapsed="false">
      <c r="A153" s="8" t="s">
        <v>647</v>
      </c>
      <c r="B153" s="8" t="s">
        <v>648</v>
      </c>
      <c r="C153" s="8" t="s">
        <v>43</v>
      </c>
      <c r="D153" s="8" t="s">
        <v>649</v>
      </c>
      <c r="E153" s="8" t="s">
        <v>650</v>
      </c>
      <c r="F153" s="8"/>
      <c r="G153" s="8" t="s">
        <v>651</v>
      </c>
      <c r="H153" s="8" t="s">
        <v>47</v>
      </c>
      <c r="I153" s="8"/>
    </row>
    <row r="154" customFormat="false" ht="15" hidden="false" customHeight="false" outlineLevel="0" collapsed="false">
      <c r="A154" s="8" t="s">
        <v>652</v>
      </c>
      <c r="B154" s="8" t="s">
        <v>653</v>
      </c>
      <c r="C154" s="8" t="s">
        <v>43</v>
      </c>
      <c r="D154" s="8" t="s">
        <v>654</v>
      </c>
      <c r="E154" s="8" t="s">
        <v>655</v>
      </c>
      <c r="F154" s="8"/>
      <c r="G154" s="8" t="s">
        <v>656</v>
      </c>
      <c r="H154" s="8" t="s">
        <v>47</v>
      </c>
      <c r="I154" s="8"/>
    </row>
    <row r="155" customFormat="false" ht="15" hidden="false" customHeight="false" outlineLevel="0" collapsed="false">
      <c r="A155" s="8" t="s">
        <v>657</v>
      </c>
      <c r="B155" s="8" t="s">
        <v>658</v>
      </c>
      <c r="C155" s="8" t="s">
        <v>43</v>
      </c>
      <c r="D155" s="8" t="s">
        <v>574</v>
      </c>
      <c r="E155" s="8" t="s">
        <v>659</v>
      </c>
      <c r="F155" s="8"/>
      <c r="G155" s="8" t="s">
        <v>603</v>
      </c>
      <c r="H155" s="8" t="s">
        <v>47</v>
      </c>
      <c r="I155" s="8"/>
    </row>
    <row r="156" customFormat="false" ht="15" hidden="false" customHeight="false" outlineLevel="0" collapsed="false">
      <c r="A156" s="8" t="s">
        <v>660</v>
      </c>
      <c r="B156" s="8" t="s">
        <v>661</v>
      </c>
      <c r="C156" s="8" t="s">
        <v>43</v>
      </c>
      <c r="D156" s="8" t="s">
        <v>662</v>
      </c>
      <c r="E156" s="8" t="s">
        <v>663</v>
      </c>
      <c r="F156" s="8"/>
      <c r="G156" s="8" t="s">
        <v>664</v>
      </c>
      <c r="H156" s="8" t="s">
        <v>47</v>
      </c>
      <c r="I156" s="8"/>
    </row>
    <row r="157" customFormat="false" ht="15" hidden="false" customHeight="false" outlineLevel="0" collapsed="false">
      <c r="A157" s="8" t="s">
        <v>665</v>
      </c>
      <c r="B157" s="8" t="s">
        <v>666</v>
      </c>
      <c r="C157" s="8" t="s">
        <v>112</v>
      </c>
      <c r="D157" s="8" t="s">
        <v>667</v>
      </c>
      <c r="E157" s="8" t="s">
        <v>668</v>
      </c>
      <c r="F157" s="8"/>
      <c r="G157" s="8" t="s">
        <v>669</v>
      </c>
      <c r="H157" s="8" t="s">
        <v>47</v>
      </c>
      <c r="I157" s="8"/>
    </row>
    <row r="158" customFormat="false" ht="15" hidden="false" customHeight="false" outlineLevel="0" collapsed="false">
      <c r="A158" s="8" t="s">
        <v>670</v>
      </c>
      <c r="B158" s="8" t="s">
        <v>671</v>
      </c>
      <c r="C158" s="8" t="s">
        <v>112</v>
      </c>
      <c r="D158" s="8" t="s">
        <v>672</v>
      </c>
      <c r="E158" s="8" t="s">
        <v>673</v>
      </c>
      <c r="F158" s="8"/>
      <c r="G158" s="8" t="s">
        <v>546</v>
      </c>
      <c r="H158" s="8" t="s">
        <v>47</v>
      </c>
      <c r="I158" s="8"/>
    </row>
    <row r="159" customFormat="false" ht="15" hidden="false" customHeight="false" outlineLevel="0" collapsed="false">
      <c r="A159" s="8" t="s">
        <v>674</v>
      </c>
      <c r="B159" s="8" t="s">
        <v>675</v>
      </c>
      <c r="C159" s="8" t="s">
        <v>112</v>
      </c>
      <c r="D159" s="8" t="s">
        <v>307</v>
      </c>
      <c r="E159" s="8" t="s">
        <v>676</v>
      </c>
      <c r="F159" s="8"/>
      <c r="G159" s="8" t="s">
        <v>109</v>
      </c>
      <c r="H159" s="8" t="s">
        <v>47</v>
      </c>
      <c r="I159" s="8"/>
    </row>
    <row r="160" customFormat="false" ht="15" hidden="false" customHeight="false" outlineLevel="0" collapsed="false">
      <c r="A160" s="8" t="s">
        <v>677</v>
      </c>
      <c r="B160" s="8" t="s">
        <v>678</v>
      </c>
      <c r="C160" s="8" t="s">
        <v>112</v>
      </c>
      <c r="D160" s="8" t="s">
        <v>679</v>
      </c>
      <c r="E160" s="8" t="s">
        <v>680</v>
      </c>
      <c r="F160" s="8"/>
      <c r="G160" s="8" t="s">
        <v>625</v>
      </c>
      <c r="H160" s="8" t="s">
        <v>47</v>
      </c>
      <c r="I160" s="8"/>
    </row>
    <row r="161" customFormat="false" ht="15" hidden="false" customHeight="false" outlineLevel="0" collapsed="false">
      <c r="A161" s="8" t="s">
        <v>681</v>
      </c>
      <c r="B161" s="8" t="s">
        <v>682</v>
      </c>
      <c r="C161" s="8" t="s">
        <v>683</v>
      </c>
      <c r="D161" s="8" t="s">
        <v>684</v>
      </c>
      <c r="E161" s="8" t="s">
        <v>685</v>
      </c>
      <c r="F161" s="8"/>
      <c r="G161" s="8" t="s">
        <v>625</v>
      </c>
      <c r="H161" s="8" t="s">
        <v>47</v>
      </c>
      <c r="I161" s="8"/>
    </row>
    <row r="162" customFormat="false" ht="15" hidden="false" customHeight="false" outlineLevel="0" collapsed="false">
      <c r="A162" s="8" t="s">
        <v>686</v>
      </c>
      <c r="B162" s="8" t="s">
        <v>687</v>
      </c>
      <c r="C162" s="8" t="s">
        <v>683</v>
      </c>
      <c r="D162" s="8" t="s">
        <v>688</v>
      </c>
      <c r="E162" s="8" t="s">
        <v>689</v>
      </c>
      <c r="F162" s="8"/>
      <c r="G162" s="8" t="s">
        <v>546</v>
      </c>
      <c r="H162" s="8" t="s">
        <v>47</v>
      </c>
      <c r="I162" s="8"/>
    </row>
    <row r="163" customFormat="false" ht="15" hidden="false" customHeight="false" outlineLevel="0" collapsed="false">
      <c r="A163" s="8" t="s">
        <v>690</v>
      </c>
      <c r="B163" s="8" t="s">
        <v>691</v>
      </c>
      <c r="C163" s="8" t="s">
        <v>683</v>
      </c>
      <c r="D163" s="8" t="s">
        <v>692</v>
      </c>
      <c r="E163" s="8" t="s">
        <v>693</v>
      </c>
      <c r="F163" s="8"/>
      <c r="G163" s="8" t="s">
        <v>546</v>
      </c>
      <c r="H163" s="8" t="s">
        <v>47</v>
      </c>
      <c r="I163" s="8"/>
    </row>
    <row r="164" customFormat="false" ht="15" hidden="false" customHeight="false" outlineLevel="0" collapsed="false">
      <c r="A164" s="8" t="s">
        <v>694</v>
      </c>
      <c r="B164" s="8" t="s">
        <v>695</v>
      </c>
      <c r="C164" s="8" t="s">
        <v>152</v>
      </c>
      <c r="D164" s="8" t="s">
        <v>696</v>
      </c>
      <c r="E164" s="8" t="s">
        <v>697</v>
      </c>
      <c r="F164" s="8"/>
      <c r="G164" s="8" t="s">
        <v>629</v>
      </c>
      <c r="H164" s="8" t="s">
        <v>47</v>
      </c>
      <c r="I164" s="8"/>
    </row>
    <row r="165" customFormat="false" ht="15" hidden="false" customHeight="false" outlineLevel="0" collapsed="false">
      <c r="A165" s="8" t="s">
        <v>698</v>
      </c>
      <c r="B165" s="8" t="s">
        <v>699</v>
      </c>
      <c r="C165" s="8" t="s">
        <v>152</v>
      </c>
      <c r="D165" s="8" t="s">
        <v>696</v>
      </c>
      <c r="E165" s="8" t="s">
        <v>700</v>
      </c>
      <c r="F165" s="8"/>
      <c r="G165" s="8" t="s">
        <v>546</v>
      </c>
      <c r="H165" s="8" t="s">
        <v>47</v>
      </c>
      <c r="I165" s="8"/>
    </row>
    <row r="166" customFormat="false" ht="15" hidden="false" customHeight="false" outlineLevel="0" collapsed="false">
      <c r="A166" s="8" t="s">
        <v>701</v>
      </c>
      <c r="B166" s="8" t="s">
        <v>702</v>
      </c>
      <c r="C166" s="8" t="s">
        <v>152</v>
      </c>
      <c r="D166" s="8" t="s">
        <v>696</v>
      </c>
      <c r="E166" s="8" t="s">
        <v>703</v>
      </c>
      <c r="F166" s="8"/>
      <c r="G166" s="8" t="s">
        <v>625</v>
      </c>
      <c r="H166" s="8" t="s">
        <v>47</v>
      </c>
      <c r="I166" s="8"/>
    </row>
    <row r="167" customFormat="false" ht="15" hidden="false" customHeight="false" outlineLevel="0" collapsed="false">
      <c r="A167" s="8" t="s">
        <v>704</v>
      </c>
      <c r="B167" s="8" t="s">
        <v>705</v>
      </c>
      <c r="C167" s="8" t="s">
        <v>152</v>
      </c>
      <c r="D167" s="8" t="s">
        <v>706</v>
      </c>
      <c r="E167" s="8" t="s">
        <v>707</v>
      </c>
      <c r="F167" s="8"/>
      <c r="G167" s="8" t="s">
        <v>546</v>
      </c>
      <c r="H167" s="8" t="s">
        <v>47</v>
      </c>
      <c r="I167" s="8"/>
    </row>
    <row r="168" customFormat="false" ht="15" hidden="false" customHeight="false" outlineLevel="0" collapsed="false">
      <c r="A168" s="8" t="s">
        <v>708</v>
      </c>
      <c r="B168" s="8" t="s">
        <v>709</v>
      </c>
      <c r="C168" s="8" t="s">
        <v>152</v>
      </c>
      <c r="D168" s="8" t="s">
        <v>710</v>
      </c>
      <c r="E168" s="8" t="s">
        <v>711</v>
      </c>
      <c r="F168" s="8"/>
      <c r="G168" s="8" t="s">
        <v>625</v>
      </c>
      <c r="H168" s="8" t="s">
        <v>47</v>
      </c>
      <c r="I168" s="8"/>
    </row>
    <row r="169" customFormat="false" ht="15" hidden="false" customHeight="false" outlineLevel="0" collapsed="false">
      <c r="A169" s="8" t="s">
        <v>712</v>
      </c>
      <c r="B169" s="8" t="s">
        <v>713</v>
      </c>
      <c r="C169" s="8" t="s">
        <v>152</v>
      </c>
      <c r="D169" s="8" t="s">
        <v>714</v>
      </c>
      <c r="E169" s="8" t="s">
        <v>715</v>
      </c>
      <c r="F169" s="8"/>
      <c r="G169" s="8" t="s">
        <v>625</v>
      </c>
      <c r="H169" s="8" t="s">
        <v>47</v>
      </c>
      <c r="I169" s="8"/>
    </row>
    <row r="170" customFormat="false" ht="15" hidden="false" customHeight="false" outlineLevel="0" collapsed="false">
      <c r="A170" s="8" t="s">
        <v>716</v>
      </c>
      <c r="B170" s="8" t="s">
        <v>717</v>
      </c>
      <c r="C170" s="8" t="s">
        <v>152</v>
      </c>
      <c r="D170" s="8" t="s">
        <v>718</v>
      </c>
      <c r="E170" s="8" t="s">
        <v>719</v>
      </c>
      <c r="F170" s="8"/>
      <c r="G170" s="8" t="s">
        <v>629</v>
      </c>
      <c r="H170" s="8" t="s">
        <v>47</v>
      </c>
      <c r="I170" s="8"/>
    </row>
    <row r="171" customFormat="false" ht="15" hidden="false" customHeight="false" outlineLevel="0" collapsed="false">
      <c r="A171" s="8" t="s">
        <v>720</v>
      </c>
      <c r="B171" s="8" t="s">
        <v>721</v>
      </c>
      <c r="C171" s="8" t="s">
        <v>152</v>
      </c>
      <c r="D171" s="8" t="s">
        <v>722</v>
      </c>
      <c r="E171" s="8" t="s">
        <v>723</v>
      </c>
      <c r="F171" s="8"/>
      <c r="G171" s="8" t="s">
        <v>145</v>
      </c>
      <c r="H171" s="8" t="s">
        <v>47</v>
      </c>
      <c r="I171" s="8"/>
    </row>
    <row r="172" customFormat="false" ht="15" hidden="false" customHeight="false" outlineLevel="0" collapsed="false">
      <c r="A172" s="8" t="s">
        <v>724</v>
      </c>
      <c r="B172" s="8" t="s">
        <v>725</v>
      </c>
      <c r="C172" s="8" t="s">
        <v>183</v>
      </c>
      <c r="D172" s="8" t="s">
        <v>726</v>
      </c>
      <c r="E172" s="8" t="s">
        <v>727</v>
      </c>
      <c r="F172" s="8"/>
      <c r="G172" s="8" t="s">
        <v>546</v>
      </c>
      <c r="H172" s="8" t="s">
        <v>47</v>
      </c>
      <c r="I172" s="8"/>
    </row>
    <row r="173" customFormat="false" ht="15" hidden="false" customHeight="false" outlineLevel="0" collapsed="false">
      <c r="A173" s="8" t="s">
        <v>728</v>
      </c>
      <c r="B173" s="8" t="s">
        <v>729</v>
      </c>
      <c r="C173" s="8" t="s">
        <v>371</v>
      </c>
      <c r="D173" s="8" t="s">
        <v>730</v>
      </c>
      <c r="E173" s="8" t="s">
        <v>731</v>
      </c>
      <c r="F173" s="8"/>
      <c r="G173" s="8" t="s">
        <v>603</v>
      </c>
      <c r="H173" s="8" t="s">
        <v>47</v>
      </c>
      <c r="I173" s="8"/>
    </row>
    <row r="174" customFormat="false" ht="15" hidden="false" customHeight="false" outlineLevel="0" collapsed="false">
      <c r="A174" s="8" t="s">
        <v>732</v>
      </c>
      <c r="B174" s="8" t="s">
        <v>733</v>
      </c>
      <c r="C174" s="8" t="s">
        <v>734</v>
      </c>
      <c r="D174" s="8" t="s">
        <v>679</v>
      </c>
      <c r="E174" s="8" t="s">
        <v>735</v>
      </c>
      <c r="F174" s="8"/>
      <c r="G174" s="8" t="s">
        <v>629</v>
      </c>
      <c r="H174" s="8" t="s">
        <v>47</v>
      </c>
      <c r="I174" s="8"/>
    </row>
    <row r="175" customFormat="false" ht="15" hidden="false" customHeight="false" outlineLevel="0" collapsed="false">
      <c r="A175" s="8" t="s">
        <v>736</v>
      </c>
      <c r="B175" s="8" t="s">
        <v>737</v>
      </c>
      <c r="C175" s="8" t="s">
        <v>123</v>
      </c>
      <c r="D175" s="8" t="s">
        <v>738</v>
      </c>
      <c r="E175" s="8" t="s">
        <v>739</v>
      </c>
      <c r="F175" s="8"/>
      <c r="G175" s="8" t="s">
        <v>546</v>
      </c>
      <c r="H175" s="8" t="s">
        <v>47</v>
      </c>
      <c r="I175" s="8"/>
    </row>
    <row r="176" customFormat="false" ht="15" hidden="false" customHeight="false" outlineLevel="0" collapsed="false">
      <c r="A176" s="8" t="s">
        <v>740</v>
      </c>
      <c r="B176" s="8" t="s">
        <v>741</v>
      </c>
      <c r="C176" s="8" t="s">
        <v>123</v>
      </c>
      <c r="D176" s="8" t="s">
        <v>738</v>
      </c>
      <c r="E176" s="8" t="s">
        <v>742</v>
      </c>
      <c r="F176" s="8"/>
      <c r="G176" s="8" t="s">
        <v>546</v>
      </c>
      <c r="H176" s="8" t="s">
        <v>47</v>
      </c>
      <c r="I176" s="8"/>
    </row>
    <row r="177" customFormat="false" ht="15" hidden="false" customHeight="false" outlineLevel="0" collapsed="false">
      <c r="A177" s="8" t="s">
        <v>743</v>
      </c>
      <c r="B177" s="8" t="s">
        <v>744</v>
      </c>
      <c r="C177" s="8" t="s">
        <v>123</v>
      </c>
      <c r="D177" s="8" t="s">
        <v>745</v>
      </c>
      <c r="E177" s="8" t="s">
        <v>746</v>
      </c>
      <c r="F177" s="8"/>
      <c r="G177" s="8" t="s">
        <v>747</v>
      </c>
      <c r="H177" s="8" t="s">
        <v>47</v>
      </c>
      <c r="I177" s="8"/>
    </row>
    <row r="178" customFormat="false" ht="15" hidden="false" customHeight="false" outlineLevel="0" collapsed="false">
      <c r="A178" s="8" t="s">
        <v>748</v>
      </c>
      <c r="B178" s="8" t="s">
        <v>749</v>
      </c>
      <c r="C178" s="8" t="s">
        <v>123</v>
      </c>
      <c r="D178" s="8" t="s">
        <v>745</v>
      </c>
      <c r="E178" s="8" t="s">
        <v>750</v>
      </c>
      <c r="F178" s="8"/>
      <c r="G178" s="8" t="s">
        <v>751</v>
      </c>
      <c r="H178" s="8" t="s">
        <v>47</v>
      </c>
      <c r="I178" s="8"/>
    </row>
    <row r="179" customFormat="false" ht="15" hidden="false" customHeight="false" outlineLevel="0" collapsed="false">
      <c r="A179" s="8" t="s">
        <v>752</v>
      </c>
      <c r="B179" s="8" t="s">
        <v>753</v>
      </c>
      <c r="C179" s="8" t="s">
        <v>123</v>
      </c>
      <c r="D179" s="8" t="s">
        <v>745</v>
      </c>
      <c r="E179" s="8" t="s">
        <v>754</v>
      </c>
      <c r="F179" s="8"/>
      <c r="G179" s="8" t="s">
        <v>651</v>
      </c>
      <c r="H179" s="8" t="s">
        <v>47</v>
      </c>
      <c r="I179" s="8"/>
    </row>
    <row r="180" customFormat="false" ht="15" hidden="false" customHeight="false" outlineLevel="0" collapsed="false">
      <c r="A180" s="8" t="s">
        <v>755</v>
      </c>
      <c r="B180" s="8" t="s">
        <v>756</v>
      </c>
      <c r="C180" s="8" t="s">
        <v>123</v>
      </c>
      <c r="D180" s="8" t="s">
        <v>295</v>
      </c>
      <c r="E180" s="8" t="s">
        <v>757</v>
      </c>
      <c r="F180" s="8"/>
      <c r="G180" s="8" t="s">
        <v>591</v>
      </c>
      <c r="H180" s="8" t="s">
        <v>47</v>
      </c>
      <c r="I180" s="8"/>
    </row>
    <row r="181" customFormat="false" ht="15" hidden="false" customHeight="false" outlineLevel="0" collapsed="false">
      <c r="A181" s="8" t="s">
        <v>758</v>
      </c>
      <c r="B181" s="8" t="s">
        <v>759</v>
      </c>
      <c r="C181" s="8" t="s">
        <v>123</v>
      </c>
      <c r="D181" s="8" t="s">
        <v>760</v>
      </c>
      <c r="E181" s="8" t="s">
        <v>761</v>
      </c>
      <c r="F181" s="8"/>
      <c r="G181" s="8" t="s">
        <v>591</v>
      </c>
      <c r="H181" s="8" t="s">
        <v>47</v>
      </c>
      <c r="I181" s="8"/>
    </row>
    <row r="182" customFormat="false" ht="15" hidden="false" customHeight="false" outlineLevel="0" collapsed="false">
      <c r="A182" s="8" t="s">
        <v>762</v>
      </c>
      <c r="B182" s="8" t="s">
        <v>763</v>
      </c>
      <c r="C182" s="8" t="s">
        <v>123</v>
      </c>
      <c r="D182" s="8" t="s">
        <v>760</v>
      </c>
      <c r="E182" s="8" t="s">
        <v>764</v>
      </c>
      <c r="F182" s="8"/>
      <c r="G182" s="8" t="s">
        <v>591</v>
      </c>
      <c r="H182" s="8" t="s">
        <v>47</v>
      </c>
      <c r="I182" s="8"/>
    </row>
    <row r="183" customFormat="false" ht="15" hidden="false" customHeight="false" outlineLevel="0" collapsed="false">
      <c r="A183" s="8" t="s">
        <v>765</v>
      </c>
      <c r="B183" s="8" t="s">
        <v>766</v>
      </c>
      <c r="C183" s="8" t="s">
        <v>123</v>
      </c>
      <c r="D183" s="8" t="s">
        <v>767</v>
      </c>
      <c r="E183" s="8" t="s">
        <v>768</v>
      </c>
      <c r="F183" s="8"/>
      <c r="G183" s="8" t="s">
        <v>640</v>
      </c>
      <c r="H183" s="8" t="s">
        <v>47</v>
      </c>
      <c r="I183" s="8"/>
    </row>
    <row r="184" customFormat="false" ht="15" hidden="false" customHeight="false" outlineLevel="0" collapsed="false">
      <c r="A184" s="8" t="s">
        <v>769</v>
      </c>
      <c r="B184" s="8" t="s">
        <v>770</v>
      </c>
      <c r="C184" s="8" t="s">
        <v>123</v>
      </c>
      <c r="D184" s="8" t="s">
        <v>771</v>
      </c>
      <c r="E184" s="8" t="s">
        <v>772</v>
      </c>
      <c r="F184" s="8"/>
      <c r="G184" s="8" t="s">
        <v>640</v>
      </c>
      <c r="H184" s="8" t="s">
        <v>47</v>
      </c>
      <c r="I184" s="8"/>
    </row>
    <row r="185" customFormat="false" ht="15" hidden="false" customHeight="false" outlineLevel="0" collapsed="false">
      <c r="A185" s="8" t="s">
        <v>773</v>
      </c>
      <c r="B185" s="8" t="s">
        <v>774</v>
      </c>
      <c r="C185" s="8" t="s">
        <v>123</v>
      </c>
      <c r="D185" s="8" t="s">
        <v>124</v>
      </c>
      <c r="E185" s="8" t="s">
        <v>775</v>
      </c>
      <c r="F185" s="8"/>
      <c r="G185" s="8" t="s">
        <v>591</v>
      </c>
      <c r="H185" s="8" t="s">
        <v>47</v>
      </c>
      <c r="I185" s="8"/>
    </row>
    <row r="186" customFormat="false" ht="15" hidden="false" customHeight="false" outlineLevel="0" collapsed="false">
      <c r="A186" s="8" t="s">
        <v>776</v>
      </c>
      <c r="B186" s="8" t="s">
        <v>777</v>
      </c>
      <c r="C186" s="8" t="s">
        <v>123</v>
      </c>
      <c r="D186" s="8" t="s">
        <v>124</v>
      </c>
      <c r="E186" s="8" t="s">
        <v>778</v>
      </c>
      <c r="F186" s="8"/>
      <c r="G186" s="8" t="s">
        <v>612</v>
      </c>
      <c r="H186" s="8" t="s">
        <v>47</v>
      </c>
      <c r="I186" s="8"/>
    </row>
    <row r="187" customFormat="false" ht="15" hidden="false" customHeight="false" outlineLevel="0" collapsed="false">
      <c r="A187" s="8" t="s">
        <v>779</v>
      </c>
      <c r="B187" s="8" t="s">
        <v>780</v>
      </c>
      <c r="C187" s="8" t="s">
        <v>123</v>
      </c>
      <c r="D187" s="8" t="s">
        <v>781</v>
      </c>
      <c r="E187" s="8" t="s">
        <v>782</v>
      </c>
      <c r="F187" s="8"/>
      <c r="G187" s="8" t="s">
        <v>651</v>
      </c>
      <c r="H187" s="8" t="s">
        <v>47</v>
      </c>
      <c r="I187" s="8"/>
    </row>
    <row r="188" customFormat="false" ht="15" hidden="false" customHeight="false" outlineLevel="0" collapsed="false">
      <c r="A188" s="8" t="s">
        <v>783</v>
      </c>
      <c r="B188" s="8" t="s">
        <v>784</v>
      </c>
      <c r="C188" s="8" t="s">
        <v>123</v>
      </c>
      <c r="D188" s="8" t="s">
        <v>785</v>
      </c>
      <c r="E188" s="8" t="s">
        <v>786</v>
      </c>
      <c r="F188" s="8"/>
      <c r="G188" s="8" t="s">
        <v>603</v>
      </c>
      <c r="H188" s="8" t="s">
        <v>47</v>
      </c>
      <c r="I188" s="8"/>
    </row>
    <row r="189" customFormat="false" ht="15" hidden="false" customHeight="false" outlineLevel="0" collapsed="false">
      <c r="A189" s="8" t="s">
        <v>787</v>
      </c>
      <c r="B189" s="8" t="s">
        <v>788</v>
      </c>
      <c r="C189" s="8" t="s">
        <v>123</v>
      </c>
      <c r="D189" s="8" t="s">
        <v>789</v>
      </c>
      <c r="E189" s="8" t="s">
        <v>790</v>
      </c>
      <c r="F189" s="8"/>
      <c r="G189" s="8" t="s">
        <v>791</v>
      </c>
      <c r="H189" s="8" t="s">
        <v>47</v>
      </c>
      <c r="I189" s="8"/>
    </row>
    <row r="190" customFormat="false" ht="15" hidden="false" customHeight="false" outlineLevel="0" collapsed="false">
      <c r="A190" s="8" t="s">
        <v>792</v>
      </c>
      <c r="B190" s="8" t="s">
        <v>793</v>
      </c>
      <c r="C190" s="8" t="s">
        <v>123</v>
      </c>
      <c r="D190" s="8" t="s">
        <v>794</v>
      </c>
      <c r="E190" s="8" t="s">
        <v>795</v>
      </c>
      <c r="F190" s="8"/>
      <c r="G190" s="8" t="s">
        <v>46</v>
      </c>
      <c r="H190" s="8" t="s">
        <v>47</v>
      </c>
      <c r="I190" s="8"/>
    </row>
    <row r="191" customFormat="false" ht="15" hidden="false" customHeight="false" outlineLevel="0" collapsed="false">
      <c r="A191" s="8" t="s">
        <v>796</v>
      </c>
      <c r="B191" s="8" t="s">
        <v>797</v>
      </c>
      <c r="C191" s="8" t="s">
        <v>123</v>
      </c>
      <c r="D191" s="8" t="s">
        <v>794</v>
      </c>
      <c r="E191" s="8" t="s">
        <v>798</v>
      </c>
      <c r="F191" s="8"/>
      <c r="G191" s="8" t="s">
        <v>799</v>
      </c>
      <c r="H191" s="8" t="s">
        <v>47</v>
      </c>
      <c r="I191" s="8"/>
    </row>
    <row r="192" customFormat="false" ht="15" hidden="false" customHeight="false" outlineLevel="0" collapsed="false">
      <c r="A192" s="8" t="s">
        <v>800</v>
      </c>
      <c r="B192" s="8" t="s">
        <v>801</v>
      </c>
      <c r="C192" s="8" t="s">
        <v>123</v>
      </c>
      <c r="D192" s="8" t="s">
        <v>714</v>
      </c>
      <c r="E192" s="8" t="s">
        <v>802</v>
      </c>
      <c r="F192" s="8"/>
      <c r="G192" s="8" t="s">
        <v>105</v>
      </c>
      <c r="H192" s="8" t="s">
        <v>47</v>
      </c>
      <c r="I192" s="8"/>
    </row>
    <row r="193" customFormat="false" ht="15" hidden="false" customHeight="false" outlineLevel="0" collapsed="false">
      <c r="A193" s="8" t="s">
        <v>803</v>
      </c>
      <c r="B193" s="8" t="s">
        <v>804</v>
      </c>
      <c r="C193" s="8" t="s">
        <v>123</v>
      </c>
      <c r="D193" s="8" t="s">
        <v>714</v>
      </c>
      <c r="E193" s="8" t="s">
        <v>805</v>
      </c>
      <c r="F193" s="8"/>
      <c r="G193" s="8" t="s">
        <v>629</v>
      </c>
      <c r="H193" s="8" t="s">
        <v>47</v>
      </c>
      <c r="I193" s="8"/>
    </row>
    <row r="194" customFormat="false" ht="15" hidden="false" customHeight="false" outlineLevel="0" collapsed="false">
      <c r="A194" s="8" t="s">
        <v>806</v>
      </c>
      <c r="B194" s="8" t="s">
        <v>807</v>
      </c>
      <c r="C194" s="8" t="s">
        <v>123</v>
      </c>
      <c r="D194" s="8" t="s">
        <v>808</v>
      </c>
      <c r="E194" s="8" t="s">
        <v>809</v>
      </c>
      <c r="F194" s="8"/>
      <c r="G194" s="8" t="s">
        <v>747</v>
      </c>
      <c r="H194" s="8" t="s">
        <v>47</v>
      </c>
      <c r="I194" s="8"/>
    </row>
    <row r="195" customFormat="false" ht="15" hidden="false" customHeight="false" outlineLevel="0" collapsed="false">
      <c r="A195" s="8" t="s">
        <v>810</v>
      </c>
      <c r="B195" s="8" t="s">
        <v>811</v>
      </c>
      <c r="C195" s="8" t="s">
        <v>123</v>
      </c>
      <c r="D195" s="8" t="s">
        <v>812</v>
      </c>
      <c r="E195" s="8" t="s">
        <v>813</v>
      </c>
      <c r="F195" s="8"/>
      <c r="G195" s="8" t="s">
        <v>325</v>
      </c>
      <c r="H195" s="8" t="s">
        <v>47</v>
      </c>
      <c r="I195" s="8"/>
    </row>
    <row r="196" customFormat="false" ht="15" hidden="false" customHeight="false" outlineLevel="0" collapsed="false">
      <c r="A196" s="8" t="s">
        <v>814</v>
      </c>
      <c r="B196" s="8" t="s">
        <v>815</v>
      </c>
      <c r="C196" s="8" t="s">
        <v>123</v>
      </c>
      <c r="D196" s="8" t="s">
        <v>816</v>
      </c>
      <c r="E196" s="8" t="s">
        <v>817</v>
      </c>
      <c r="F196" s="8"/>
      <c r="G196" s="8" t="s">
        <v>145</v>
      </c>
      <c r="H196" s="8" t="s">
        <v>47</v>
      </c>
      <c r="I196" s="8"/>
    </row>
    <row r="197" customFormat="false" ht="15" hidden="false" customHeight="false" outlineLevel="0" collapsed="false">
      <c r="A197" s="8" t="s">
        <v>818</v>
      </c>
      <c r="B197" s="8" t="s">
        <v>819</v>
      </c>
      <c r="C197" s="8" t="s">
        <v>123</v>
      </c>
      <c r="D197" s="8" t="s">
        <v>820</v>
      </c>
      <c r="E197" s="8" t="s">
        <v>821</v>
      </c>
      <c r="F197" s="8"/>
      <c r="G197" s="8" t="s">
        <v>145</v>
      </c>
      <c r="H197" s="8" t="s">
        <v>47</v>
      </c>
      <c r="I197" s="8"/>
    </row>
    <row r="198" customFormat="false" ht="15" hidden="false" customHeight="false" outlineLevel="0" collapsed="false">
      <c r="A198" s="8" t="s">
        <v>822</v>
      </c>
      <c r="B198" s="8" t="s">
        <v>823</v>
      </c>
      <c r="C198" s="8" t="s">
        <v>123</v>
      </c>
      <c r="D198" s="8" t="s">
        <v>812</v>
      </c>
      <c r="E198" s="8" t="s">
        <v>824</v>
      </c>
      <c r="F198" s="8"/>
      <c r="G198" s="8" t="s">
        <v>481</v>
      </c>
      <c r="H198" s="8" t="s">
        <v>47</v>
      </c>
      <c r="I198" s="8"/>
    </row>
    <row r="199" customFormat="false" ht="15" hidden="false" customHeight="false" outlineLevel="0" collapsed="false">
      <c r="A199" s="8" t="s">
        <v>825</v>
      </c>
      <c r="B199" s="8" t="s">
        <v>826</v>
      </c>
      <c r="C199" s="8" t="s">
        <v>123</v>
      </c>
      <c r="D199" s="8" t="s">
        <v>295</v>
      </c>
      <c r="E199" s="8" t="s">
        <v>827</v>
      </c>
      <c r="F199" s="8"/>
      <c r="G199" s="8" t="s">
        <v>747</v>
      </c>
      <c r="H199" s="8" t="s">
        <v>47</v>
      </c>
      <c r="I199" s="8"/>
    </row>
    <row r="200" customFormat="false" ht="15" hidden="false" customHeight="false" outlineLevel="0" collapsed="false">
      <c r="A200" s="8" t="s">
        <v>828</v>
      </c>
      <c r="B200" s="8" t="s">
        <v>829</v>
      </c>
      <c r="C200" s="8" t="s">
        <v>123</v>
      </c>
      <c r="D200" s="8" t="s">
        <v>830</v>
      </c>
      <c r="E200" s="8" t="s">
        <v>831</v>
      </c>
      <c r="F200" s="8"/>
      <c r="G200" s="8" t="s">
        <v>832</v>
      </c>
      <c r="H200" s="8" t="s">
        <v>47</v>
      </c>
      <c r="I200" s="8"/>
    </row>
    <row r="201" customFormat="false" ht="15" hidden="false" customHeight="false" outlineLevel="0" collapsed="false">
      <c r="A201" s="8" t="s">
        <v>833</v>
      </c>
      <c r="B201" s="8" t="s">
        <v>834</v>
      </c>
      <c r="C201" s="8" t="s">
        <v>835</v>
      </c>
      <c r="D201" s="8" t="s">
        <v>615</v>
      </c>
      <c r="E201" s="8" t="s">
        <v>603</v>
      </c>
      <c r="F201" s="8"/>
      <c r="G201" s="8" t="s">
        <v>656</v>
      </c>
      <c r="H201" s="8" t="s">
        <v>47</v>
      </c>
      <c r="I201" s="8"/>
    </row>
    <row r="202" customFormat="false" ht="15" hidden="false" customHeight="false" outlineLevel="0" collapsed="false">
      <c r="A202" s="8" t="s">
        <v>836</v>
      </c>
      <c r="B202" s="8" t="s">
        <v>837</v>
      </c>
      <c r="C202" s="8" t="s">
        <v>835</v>
      </c>
      <c r="D202" s="8" t="s">
        <v>838</v>
      </c>
      <c r="E202" s="8" t="s">
        <v>55</v>
      </c>
      <c r="F202" s="8"/>
      <c r="G202" s="8" t="s">
        <v>120</v>
      </c>
      <c r="H202" s="8" t="s">
        <v>47</v>
      </c>
      <c r="I202" s="8"/>
    </row>
    <row r="203" customFormat="false" ht="15" hidden="false" customHeight="false" outlineLevel="0" collapsed="false">
      <c r="A203" s="8" t="s">
        <v>839</v>
      </c>
      <c r="B203" s="8" t="s">
        <v>840</v>
      </c>
      <c r="C203" s="8" t="s">
        <v>835</v>
      </c>
      <c r="D203" s="8" t="s">
        <v>838</v>
      </c>
      <c r="E203" s="8" t="s">
        <v>841</v>
      </c>
      <c r="F203" s="8"/>
      <c r="G203" s="8" t="s">
        <v>161</v>
      </c>
      <c r="H203" s="8" t="s">
        <v>47</v>
      </c>
      <c r="I203" s="8"/>
    </row>
    <row r="204" customFormat="false" ht="15" hidden="false" customHeight="false" outlineLevel="0" collapsed="false">
      <c r="A204" s="8" t="s">
        <v>842</v>
      </c>
      <c r="B204" s="8" t="s">
        <v>843</v>
      </c>
      <c r="C204" s="8" t="s">
        <v>835</v>
      </c>
      <c r="D204" s="8" t="s">
        <v>844</v>
      </c>
      <c r="E204" s="8" t="s">
        <v>845</v>
      </c>
      <c r="F204" s="8"/>
      <c r="G204" s="8" t="s">
        <v>846</v>
      </c>
      <c r="H204" s="8" t="s">
        <v>47</v>
      </c>
      <c r="I204" s="8"/>
    </row>
    <row r="205" customFormat="false" ht="15" hidden="false" customHeight="false" outlineLevel="0" collapsed="false">
      <c r="A205" s="8" t="s">
        <v>847</v>
      </c>
      <c r="B205" s="8" t="s">
        <v>848</v>
      </c>
      <c r="C205" s="8" t="s">
        <v>835</v>
      </c>
      <c r="D205" s="8" t="s">
        <v>844</v>
      </c>
      <c r="E205" s="8" t="s">
        <v>849</v>
      </c>
      <c r="F205" s="8"/>
      <c r="G205" s="8" t="s">
        <v>325</v>
      </c>
      <c r="H205" s="8" t="s">
        <v>47</v>
      </c>
      <c r="I205" s="8"/>
    </row>
    <row r="206" customFormat="false" ht="15" hidden="false" customHeight="false" outlineLevel="0" collapsed="false">
      <c r="A206" s="8" t="s">
        <v>850</v>
      </c>
      <c r="B206" s="8" t="s">
        <v>851</v>
      </c>
      <c r="C206" s="8" t="s">
        <v>835</v>
      </c>
      <c r="D206" s="8" t="s">
        <v>838</v>
      </c>
      <c r="E206" s="8" t="s">
        <v>852</v>
      </c>
      <c r="F206" s="8"/>
      <c r="G206" s="8" t="s">
        <v>325</v>
      </c>
      <c r="H206" s="8" t="s">
        <v>47</v>
      </c>
      <c r="I206" s="8"/>
    </row>
    <row r="207" customFormat="false" ht="15" hidden="false" customHeight="false" outlineLevel="0" collapsed="false">
      <c r="A207" s="8" t="s">
        <v>853</v>
      </c>
      <c r="B207" s="8" t="s">
        <v>854</v>
      </c>
      <c r="C207" s="8" t="s">
        <v>835</v>
      </c>
      <c r="D207" s="8" t="s">
        <v>855</v>
      </c>
      <c r="E207" s="8" t="s">
        <v>856</v>
      </c>
      <c r="F207" s="8"/>
      <c r="G207" s="8" t="s">
        <v>325</v>
      </c>
      <c r="H207" s="8" t="s">
        <v>47</v>
      </c>
      <c r="I207" s="8"/>
    </row>
    <row r="208" customFormat="false" ht="15" hidden="false" customHeight="false" outlineLevel="0" collapsed="false">
      <c r="A208" s="8" t="s">
        <v>857</v>
      </c>
      <c r="B208" s="8" t="s">
        <v>858</v>
      </c>
      <c r="C208" s="8" t="s">
        <v>835</v>
      </c>
      <c r="D208" s="8" t="s">
        <v>838</v>
      </c>
      <c r="E208" s="8" t="s">
        <v>859</v>
      </c>
      <c r="F208" s="8"/>
      <c r="G208" s="8" t="s">
        <v>325</v>
      </c>
      <c r="H208" s="8" t="s">
        <v>47</v>
      </c>
      <c r="I208" s="8"/>
    </row>
    <row r="209" customFormat="false" ht="15" hidden="false" customHeight="false" outlineLevel="0" collapsed="false">
      <c r="A209" s="8" t="s">
        <v>860</v>
      </c>
      <c r="B209" s="8" t="s">
        <v>861</v>
      </c>
      <c r="C209" s="8" t="s">
        <v>835</v>
      </c>
      <c r="D209" s="8" t="s">
        <v>862</v>
      </c>
      <c r="E209" s="8" t="s">
        <v>863</v>
      </c>
      <c r="F209" s="8"/>
      <c r="G209" s="8" t="s">
        <v>325</v>
      </c>
      <c r="H209" s="8" t="s">
        <v>47</v>
      </c>
      <c r="I209" s="8"/>
    </row>
    <row r="210" customFormat="false" ht="15" hidden="false" customHeight="false" outlineLevel="0" collapsed="false">
      <c r="A210" s="8" t="s">
        <v>864</v>
      </c>
      <c r="B210" s="8" t="s">
        <v>865</v>
      </c>
      <c r="C210" s="8" t="s">
        <v>835</v>
      </c>
      <c r="D210" s="8" t="s">
        <v>838</v>
      </c>
      <c r="E210" s="8" t="s">
        <v>866</v>
      </c>
      <c r="F210" s="8"/>
      <c r="G210" s="8" t="s">
        <v>325</v>
      </c>
      <c r="H210" s="8" t="s">
        <v>47</v>
      </c>
      <c r="I210" s="8"/>
    </row>
    <row r="211" customFormat="false" ht="15" hidden="false" customHeight="false" outlineLevel="0" collapsed="false">
      <c r="A211" s="8" t="s">
        <v>867</v>
      </c>
      <c r="B211" s="8" t="s">
        <v>868</v>
      </c>
      <c r="C211" s="8" t="s">
        <v>835</v>
      </c>
      <c r="D211" s="8" t="s">
        <v>869</v>
      </c>
      <c r="E211" s="8" t="s">
        <v>870</v>
      </c>
      <c r="F211" s="8"/>
      <c r="G211" s="8" t="s">
        <v>268</v>
      </c>
      <c r="H211" s="8" t="s">
        <v>47</v>
      </c>
      <c r="I211" s="8"/>
    </row>
    <row r="212" customFormat="false" ht="15" hidden="false" customHeight="false" outlineLevel="0" collapsed="false">
      <c r="A212" s="8" t="s">
        <v>871</v>
      </c>
      <c r="B212" s="8" t="s">
        <v>872</v>
      </c>
      <c r="C212" s="8" t="s">
        <v>43</v>
      </c>
      <c r="D212" s="8" t="s">
        <v>873</v>
      </c>
      <c r="E212" s="8" t="s">
        <v>874</v>
      </c>
      <c r="F212" s="8"/>
      <c r="G212" s="8" t="s">
        <v>72</v>
      </c>
      <c r="H212" s="8" t="s">
        <v>47</v>
      </c>
      <c r="I212" s="8"/>
    </row>
    <row r="213" customFormat="false" ht="15" hidden="false" customHeight="false" outlineLevel="0" collapsed="false">
      <c r="A213" s="8" t="s">
        <v>875</v>
      </c>
      <c r="B213" s="8" t="s">
        <v>876</v>
      </c>
      <c r="C213" s="8" t="s">
        <v>36</v>
      </c>
      <c r="D213" s="8" t="s">
        <v>877</v>
      </c>
      <c r="E213" s="8" t="s">
        <v>878</v>
      </c>
      <c r="F213" s="8"/>
      <c r="G213" s="8" t="s">
        <v>268</v>
      </c>
      <c r="H213" s="8" t="s">
        <v>47</v>
      </c>
      <c r="I213" s="8"/>
    </row>
    <row r="214" customFormat="false" ht="15" hidden="false" customHeight="false" outlineLevel="0" collapsed="false">
      <c r="A214" s="8" t="s">
        <v>879</v>
      </c>
      <c r="B214" s="8" t="s">
        <v>880</v>
      </c>
      <c r="C214" s="8" t="s">
        <v>36</v>
      </c>
      <c r="D214" s="8" t="s">
        <v>881</v>
      </c>
      <c r="E214" s="8" t="s">
        <v>882</v>
      </c>
      <c r="F214" s="8"/>
      <c r="G214" s="8" t="s">
        <v>268</v>
      </c>
      <c r="H214" s="8" t="s">
        <v>47</v>
      </c>
      <c r="I214" s="8"/>
    </row>
    <row r="215" customFormat="false" ht="15" hidden="false" customHeight="false" outlineLevel="0" collapsed="false">
      <c r="A215" s="8" t="s">
        <v>883</v>
      </c>
      <c r="B215" s="8" t="s">
        <v>884</v>
      </c>
      <c r="C215" s="8" t="s">
        <v>36</v>
      </c>
      <c r="D215" s="8" t="s">
        <v>885</v>
      </c>
      <c r="E215" s="8" t="s">
        <v>886</v>
      </c>
      <c r="F215" s="8"/>
      <c r="G215" s="8" t="s">
        <v>268</v>
      </c>
      <c r="H215" s="8" t="s">
        <v>47</v>
      </c>
      <c r="I215" s="8"/>
    </row>
    <row r="216" customFormat="false" ht="15" hidden="false" customHeight="false" outlineLevel="0" collapsed="false">
      <c r="A216" s="8" t="s">
        <v>887</v>
      </c>
      <c r="B216" s="8" t="s">
        <v>888</v>
      </c>
      <c r="C216" s="8" t="s">
        <v>36</v>
      </c>
      <c r="D216" s="8" t="s">
        <v>889</v>
      </c>
      <c r="E216" s="8" t="s">
        <v>890</v>
      </c>
      <c r="F216" s="8"/>
      <c r="G216" s="8" t="s">
        <v>669</v>
      </c>
      <c r="H216" s="8" t="s">
        <v>47</v>
      </c>
      <c r="I216" s="8"/>
    </row>
    <row r="217" customFormat="false" ht="15" hidden="false" customHeight="false" outlineLevel="0" collapsed="false">
      <c r="A217" s="8" t="s">
        <v>891</v>
      </c>
      <c r="B217" s="8" t="s">
        <v>892</v>
      </c>
      <c r="C217" s="8" t="s">
        <v>36</v>
      </c>
      <c r="D217" s="8" t="s">
        <v>893</v>
      </c>
      <c r="E217" s="8" t="s">
        <v>894</v>
      </c>
      <c r="F217" s="8"/>
      <c r="G217" s="8" t="s">
        <v>268</v>
      </c>
      <c r="H217" s="8" t="s">
        <v>47</v>
      </c>
      <c r="I217" s="8"/>
    </row>
    <row r="218" customFormat="false" ht="15" hidden="false" customHeight="false" outlineLevel="0" collapsed="false">
      <c r="A218" s="8" t="s">
        <v>895</v>
      </c>
      <c r="B218" s="8" t="s">
        <v>896</v>
      </c>
      <c r="C218" s="8" t="s">
        <v>36</v>
      </c>
      <c r="D218" s="8" t="s">
        <v>820</v>
      </c>
      <c r="E218" s="8" t="s">
        <v>897</v>
      </c>
      <c r="F218" s="8"/>
      <c r="G218" s="8" t="s">
        <v>72</v>
      </c>
      <c r="H218" s="8" t="s">
        <v>47</v>
      </c>
      <c r="I218" s="8"/>
    </row>
    <row r="219" customFormat="false" ht="15" hidden="false" customHeight="false" outlineLevel="0" collapsed="false">
      <c r="A219" s="8" t="s">
        <v>898</v>
      </c>
      <c r="B219" s="8" t="s">
        <v>899</v>
      </c>
      <c r="C219" s="8" t="s">
        <v>36</v>
      </c>
      <c r="D219" s="8" t="s">
        <v>900</v>
      </c>
      <c r="E219" s="8" t="s">
        <v>901</v>
      </c>
      <c r="F219" s="8"/>
      <c r="G219" s="8" t="s">
        <v>59</v>
      </c>
      <c r="H219" s="8" t="s">
        <v>47</v>
      </c>
      <c r="I219" s="8"/>
    </row>
    <row r="220" customFormat="false" ht="15" hidden="false" customHeight="false" outlineLevel="0" collapsed="false">
      <c r="A220" s="8" t="s">
        <v>902</v>
      </c>
      <c r="B220" s="8" t="s">
        <v>903</v>
      </c>
      <c r="C220" s="8" t="s">
        <v>36</v>
      </c>
      <c r="D220" s="8" t="s">
        <v>43</v>
      </c>
      <c r="E220" s="8" t="s">
        <v>904</v>
      </c>
      <c r="F220" s="8"/>
      <c r="G220" s="8" t="s">
        <v>72</v>
      </c>
      <c r="H220" s="8" t="s">
        <v>47</v>
      </c>
      <c r="I220" s="8"/>
    </row>
    <row r="221" customFormat="false" ht="15" hidden="false" customHeight="false" outlineLevel="0" collapsed="false">
      <c r="A221" s="8" t="s">
        <v>905</v>
      </c>
      <c r="B221" s="8" t="s">
        <v>906</v>
      </c>
      <c r="C221" s="8" t="s">
        <v>36</v>
      </c>
      <c r="D221" s="8" t="s">
        <v>907</v>
      </c>
      <c r="E221" s="8" t="s">
        <v>908</v>
      </c>
      <c r="F221" s="8"/>
      <c r="G221" s="8" t="s">
        <v>72</v>
      </c>
      <c r="H221" s="8" t="s">
        <v>47</v>
      </c>
      <c r="I221" s="8"/>
    </row>
    <row r="222" customFormat="false" ht="15" hidden="false" customHeight="false" outlineLevel="0" collapsed="false">
      <c r="A222" s="8" t="s">
        <v>909</v>
      </c>
      <c r="B222" s="8" t="s">
        <v>910</v>
      </c>
      <c r="C222" s="8" t="s">
        <v>36</v>
      </c>
      <c r="D222" s="8" t="s">
        <v>911</v>
      </c>
      <c r="E222" s="8" t="s">
        <v>912</v>
      </c>
      <c r="F222" s="8"/>
      <c r="G222" s="8" t="s">
        <v>72</v>
      </c>
      <c r="H222" s="8" t="s">
        <v>47</v>
      </c>
      <c r="I222" s="8"/>
    </row>
    <row r="223" customFormat="false" ht="15" hidden="false" customHeight="false" outlineLevel="0" collapsed="false">
      <c r="A223" s="8" t="s">
        <v>913</v>
      </c>
      <c r="B223" s="8" t="s">
        <v>914</v>
      </c>
      <c r="C223" s="8" t="s">
        <v>36</v>
      </c>
      <c r="D223" s="8" t="s">
        <v>915</v>
      </c>
      <c r="E223" s="8" t="s">
        <v>916</v>
      </c>
      <c r="F223" s="8"/>
      <c r="G223" s="8" t="s">
        <v>55</v>
      </c>
      <c r="H223" s="8" t="s">
        <v>47</v>
      </c>
      <c r="I223" s="8"/>
    </row>
    <row r="224" customFormat="false" ht="15" hidden="false" customHeight="false" outlineLevel="0" collapsed="false">
      <c r="A224" s="8" t="s">
        <v>917</v>
      </c>
      <c r="B224" s="8" t="s">
        <v>918</v>
      </c>
      <c r="C224" s="8" t="s">
        <v>36</v>
      </c>
      <c r="D224" s="8" t="s">
        <v>919</v>
      </c>
      <c r="E224" s="8" t="s">
        <v>920</v>
      </c>
      <c r="F224" s="8"/>
      <c r="G224" s="8" t="s">
        <v>72</v>
      </c>
      <c r="H224" s="8" t="s">
        <v>47</v>
      </c>
      <c r="I224" s="8"/>
    </row>
    <row r="225" customFormat="false" ht="15" hidden="false" customHeight="false" outlineLevel="0" collapsed="false">
      <c r="A225" s="8" t="s">
        <v>921</v>
      </c>
      <c r="B225" s="8" t="s">
        <v>922</v>
      </c>
      <c r="C225" s="8" t="s">
        <v>36</v>
      </c>
      <c r="D225" s="8" t="s">
        <v>820</v>
      </c>
      <c r="E225" s="8" t="s">
        <v>923</v>
      </c>
      <c r="F225" s="8"/>
      <c r="G225" s="8" t="s">
        <v>55</v>
      </c>
      <c r="H225" s="8" t="s">
        <v>47</v>
      </c>
      <c r="I225" s="8"/>
    </row>
    <row r="226" customFormat="false" ht="15" hidden="false" customHeight="false" outlineLevel="0" collapsed="false">
      <c r="A226" s="8" t="s">
        <v>924</v>
      </c>
      <c r="B226" s="8" t="s">
        <v>925</v>
      </c>
      <c r="C226" s="8" t="s">
        <v>926</v>
      </c>
      <c r="D226" s="8" t="s">
        <v>927</v>
      </c>
      <c r="E226" s="8" t="s">
        <v>928</v>
      </c>
      <c r="F226" s="8"/>
      <c r="G226" s="8" t="s">
        <v>325</v>
      </c>
      <c r="H226" s="8" t="s">
        <v>47</v>
      </c>
      <c r="I226" s="8"/>
    </row>
    <row r="227" customFormat="false" ht="15" hidden="false" customHeight="false" outlineLevel="0" collapsed="false">
      <c r="A227" s="8" t="s">
        <v>929</v>
      </c>
      <c r="B227" s="8" t="s">
        <v>930</v>
      </c>
      <c r="C227" s="8" t="s">
        <v>926</v>
      </c>
      <c r="D227" s="8" t="s">
        <v>931</v>
      </c>
      <c r="E227" s="8" t="s">
        <v>932</v>
      </c>
      <c r="F227" s="8"/>
      <c r="G227" s="8" t="s">
        <v>832</v>
      </c>
      <c r="H227" s="8" t="s">
        <v>47</v>
      </c>
      <c r="I227" s="8"/>
    </row>
    <row r="228" customFormat="false" ht="15" hidden="false" customHeight="false" outlineLevel="0" collapsed="false">
      <c r="A228" s="8" t="s">
        <v>933</v>
      </c>
      <c r="B228" s="8" t="s">
        <v>934</v>
      </c>
      <c r="C228" s="8" t="s">
        <v>926</v>
      </c>
      <c r="D228" s="8" t="s">
        <v>935</v>
      </c>
      <c r="E228" s="8" t="s">
        <v>936</v>
      </c>
      <c r="F228" s="8"/>
      <c r="G228" s="8" t="s">
        <v>546</v>
      </c>
      <c r="H228" s="8" t="s">
        <v>47</v>
      </c>
      <c r="I228" s="8"/>
    </row>
    <row r="229" customFormat="false" ht="15" hidden="false" customHeight="false" outlineLevel="0" collapsed="false">
      <c r="A229" s="8" t="s">
        <v>937</v>
      </c>
      <c r="B229" s="8" t="s">
        <v>938</v>
      </c>
      <c r="C229" s="8" t="s">
        <v>926</v>
      </c>
      <c r="D229" s="8" t="s">
        <v>939</v>
      </c>
      <c r="E229" s="8" t="s">
        <v>940</v>
      </c>
      <c r="F229" s="8"/>
      <c r="G229" s="8" t="s">
        <v>325</v>
      </c>
      <c r="H229" s="8" t="s">
        <v>47</v>
      </c>
      <c r="I229" s="8"/>
    </row>
    <row r="230" customFormat="false" ht="15" hidden="false" customHeight="false" outlineLevel="0" collapsed="false">
      <c r="A230" s="8" t="s">
        <v>941</v>
      </c>
      <c r="B230" s="8" t="s">
        <v>942</v>
      </c>
      <c r="C230" s="8" t="s">
        <v>926</v>
      </c>
      <c r="D230" s="8" t="s">
        <v>943</v>
      </c>
      <c r="E230" s="8" t="s">
        <v>944</v>
      </c>
      <c r="F230" s="8"/>
      <c r="G230" s="8" t="s">
        <v>325</v>
      </c>
      <c r="H230" s="8" t="s">
        <v>47</v>
      </c>
      <c r="I230" s="8"/>
    </row>
    <row r="231" customFormat="false" ht="15" hidden="false" customHeight="false" outlineLevel="0" collapsed="false">
      <c r="A231" s="8" t="s">
        <v>945</v>
      </c>
      <c r="B231" s="8" t="s">
        <v>946</v>
      </c>
      <c r="C231" s="8" t="s">
        <v>926</v>
      </c>
      <c r="D231" s="8" t="s">
        <v>947</v>
      </c>
      <c r="E231" s="8" t="s">
        <v>948</v>
      </c>
      <c r="F231" s="8"/>
      <c r="G231" s="8" t="s">
        <v>325</v>
      </c>
      <c r="H231" s="8" t="s">
        <v>47</v>
      </c>
      <c r="I231" s="8"/>
    </row>
    <row r="232" customFormat="false" ht="15" hidden="false" customHeight="false" outlineLevel="0" collapsed="false">
      <c r="A232" s="8" t="s">
        <v>949</v>
      </c>
      <c r="B232" s="8" t="s">
        <v>950</v>
      </c>
      <c r="C232" s="8" t="s">
        <v>926</v>
      </c>
      <c r="D232" s="8" t="s">
        <v>951</v>
      </c>
      <c r="E232" s="8" t="s">
        <v>952</v>
      </c>
      <c r="F232" s="8"/>
      <c r="G232" s="8" t="s">
        <v>953</v>
      </c>
      <c r="H232" s="8" t="s">
        <v>47</v>
      </c>
      <c r="I232" s="8"/>
    </row>
    <row r="233" customFormat="false" ht="15" hidden="false" customHeight="false" outlineLevel="0" collapsed="false">
      <c r="A233" s="8" t="s">
        <v>954</v>
      </c>
      <c r="B233" s="8" t="s">
        <v>955</v>
      </c>
      <c r="C233" s="8" t="s">
        <v>926</v>
      </c>
      <c r="D233" s="8" t="s">
        <v>956</v>
      </c>
      <c r="E233" s="8" t="s">
        <v>957</v>
      </c>
      <c r="F233" s="8"/>
      <c r="G233" s="8" t="s">
        <v>846</v>
      </c>
      <c r="H233" s="8" t="s">
        <v>47</v>
      </c>
      <c r="I233" s="8"/>
    </row>
    <row r="234" customFormat="false" ht="15" hidden="false" customHeight="false" outlineLevel="0" collapsed="false">
      <c r="A234" s="8" t="s">
        <v>958</v>
      </c>
      <c r="B234" s="8" t="s">
        <v>959</v>
      </c>
      <c r="C234" s="8" t="s">
        <v>200</v>
      </c>
      <c r="D234" s="8" t="s">
        <v>201</v>
      </c>
      <c r="E234" s="8" t="s">
        <v>960</v>
      </c>
      <c r="F234" s="8"/>
      <c r="G234" s="8" t="s">
        <v>561</v>
      </c>
      <c r="H234" s="8" t="s">
        <v>47</v>
      </c>
      <c r="I234" s="8"/>
    </row>
    <row r="235" customFormat="false" ht="15" hidden="false" customHeight="false" outlineLevel="0" collapsed="false">
      <c r="A235" s="8" t="s">
        <v>961</v>
      </c>
      <c r="B235" s="8" t="s">
        <v>962</v>
      </c>
      <c r="C235" s="8" t="s">
        <v>200</v>
      </c>
      <c r="D235" s="8" t="s">
        <v>201</v>
      </c>
      <c r="E235" s="8" t="s">
        <v>963</v>
      </c>
      <c r="F235" s="8"/>
      <c r="G235" s="8" t="s">
        <v>561</v>
      </c>
      <c r="H235" s="8" t="s">
        <v>47</v>
      </c>
      <c r="I235" s="8"/>
    </row>
    <row r="236" customFormat="false" ht="15" hidden="false" customHeight="false" outlineLevel="0" collapsed="false">
      <c r="A236" s="8" t="s">
        <v>964</v>
      </c>
      <c r="B236" s="8" t="s">
        <v>965</v>
      </c>
      <c r="C236" s="8" t="s">
        <v>200</v>
      </c>
      <c r="D236" s="8" t="s">
        <v>175</v>
      </c>
      <c r="E236" s="8" t="s">
        <v>966</v>
      </c>
      <c r="F236" s="8"/>
      <c r="G236" s="8" t="s">
        <v>967</v>
      </c>
      <c r="H236" s="8" t="s">
        <v>47</v>
      </c>
      <c r="I236" s="8"/>
    </row>
    <row r="237" customFormat="false" ht="15" hidden="false" customHeight="false" outlineLevel="0" collapsed="false">
      <c r="A237" s="8" t="s">
        <v>968</v>
      </c>
      <c r="B237" s="8" t="s">
        <v>969</v>
      </c>
      <c r="C237" s="8" t="s">
        <v>200</v>
      </c>
      <c r="D237" s="8" t="s">
        <v>970</v>
      </c>
      <c r="E237" s="8" t="s">
        <v>971</v>
      </c>
      <c r="F237" s="8"/>
      <c r="G237" s="8" t="s">
        <v>161</v>
      </c>
      <c r="H237" s="8" t="s">
        <v>47</v>
      </c>
      <c r="I237" s="8"/>
    </row>
    <row r="238" customFormat="false" ht="15" hidden="false" customHeight="false" outlineLevel="0" collapsed="false">
      <c r="A238" s="8" t="s">
        <v>972</v>
      </c>
      <c r="B238" s="8" t="s">
        <v>973</v>
      </c>
      <c r="C238" s="8" t="s">
        <v>200</v>
      </c>
      <c r="D238" s="8" t="s">
        <v>970</v>
      </c>
      <c r="E238" s="8" t="s">
        <v>974</v>
      </c>
      <c r="F238" s="8"/>
      <c r="G238" s="8" t="s">
        <v>100</v>
      </c>
      <c r="H238" s="8" t="s">
        <v>47</v>
      </c>
      <c r="I238" s="8"/>
    </row>
    <row r="239" customFormat="false" ht="15" hidden="false" customHeight="false" outlineLevel="0" collapsed="false">
      <c r="A239" s="8" t="s">
        <v>975</v>
      </c>
      <c r="B239" s="8" t="s">
        <v>976</v>
      </c>
      <c r="C239" s="8" t="s">
        <v>200</v>
      </c>
      <c r="D239" s="8" t="s">
        <v>970</v>
      </c>
      <c r="E239" s="8" t="s">
        <v>977</v>
      </c>
      <c r="F239" s="8"/>
      <c r="G239" s="8" t="s">
        <v>161</v>
      </c>
      <c r="H239" s="8" t="s">
        <v>47</v>
      </c>
      <c r="I239" s="8"/>
    </row>
    <row r="240" customFormat="false" ht="15" hidden="false" customHeight="false" outlineLevel="0" collapsed="false">
      <c r="A240" s="8" t="s">
        <v>978</v>
      </c>
      <c r="B240" s="8" t="s">
        <v>979</v>
      </c>
      <c r="C240" s="8" t="s">
        <v>200</v>
      </c>
      <c r="D240" s="8" t="s">
        <v>980</v>
      </c>
      <c r="E240" s="8" t="s">
        <v>981</v>
      </c>
      <c r="F240" s="8"/>
      <c r="G240" s="8" t="s">
        <v>824</v>
      </c>
      <c r="H240" s="8" t="s">
        <v>47</v>
      </c>
      <c r="I240" s="8"/>
    </row>
    <row r="241" customFormat="false" ht="15" hidden="false" customHeight="false" outlineLevel="0" collapsed="false">
      <c r="A241" s="8" t="s">
        <v>982</v>
      </c>
      <c r="B241" s="8" t="s">
        <v>983</v>
      </c>
      <c r="C241" s="8" t="s">
        <v>200</v>
      </c>
      <c r="D241" s="8" t="s">
        <v>601</v>
      </c>
      <c r="E241" s="8" t="s">
        <v>984</v>
      </c>
      <c r="F241" s="8"/>
      <c r="G241" s="8" t="s">
        <v>161</v>
      </c>
      <c r="H241" s="8" t="s">
        <v>47</v>
      </c>
      <c r="I241" s="8"/>
    </row>
    <row r="242" customFormat="false" ht="15" hidden="false" customHeight="false" outlineLevel="0" collapsed="false">
      <c r="A242" s="8" t="s">
        <v>985</v>
      </c>
      <c r="B242" s="8" t="s">
        <v>986</v>
      </c>
      <c r="C242" s="8" t="s">
        <v>200</v>
      </c>
      <c r="D242" s="8" t="s">
        <v>601</v>
      </c>
      <c r="E242" s="8" t="s">
        <v>987</v>
      </c>
      <c r="F242" s="8"/>
      <c r="G242" s="8" t="s">
        <v>55</v>
      </c>
      <c r="H242" s="8" t="s">
        <v>47</v>
      </c>
      <c r="I242" s="8"/>
    </row>
    <row r="243" customFormat="false" ht="15" hidden="false" customHeight="false" outlineLevel="0" collapsed="false">
      <c r="A243" s="8" t="s">
        <v>988</v>
      </c>
      <c r="B243" s="8" t="s">
        <v>989</v>
      </c>
      <c r="C243" s="8" t="s">
        <v>389</v>
      </c>
      <c r="D243" s="8" t="s">
        <v>990</v>
      </c>
      <c r="E243" s="8" t="s">
        <v>991</v>
      </c>
      <c r="F243" s="8"/>
      <c r="G243" s="8" t="s">
        <v>72</v>
      </c>
      <c r="H243" s="8" t="s">
        <v>47</v>
      </c>
      <c r="I243" s="8"/>
    </row>
    <row r="244" customFormat="false" ht="15" hidden="false" customHeight="false" outlineLevel="0" collapsed="false">
      <c r="A244" s="8" t="s">
        <v>992</v>
      </c>
      <c r="B244" s="8" t="s">
        <v>993</v>
      </c>
      <c r="C244" s="8" t="s">
        <v>389</v>
      </c>
      <c r="D244" s="8" t="s">
        <v>990</v>
      </c>
      <c r="E244" s="8" t="s">
        <v>994</v>
      </c>
      <c r="F244" s="8"/>
      <c r="G244" s="8" t="s">
        <v>325</v>
      </c>
      <c r="H244" s="8" t="s">
        <v>47</v>
      </c>
      <c r="I244" s="8"/>
    </row>
    <row r="245" customFormat="false" ht="15" hidden="false" customHeight="false" outlineLevel="0" collapsed="false">
      <c r="A245" s="8" t="s">
        <v>995</v>
      </c>
      <c r="B245" s="8" t="s">
        <v>996</v>
      </c>
      <c r="C245" s="8" t="s">
        <v>20</v>
      </c>
      <c r="D245" s="8" t="s">
        <v>555</v>
      </c>
      <c r="E245" s="8" t="s">
        <v>997</v>
      </c>
      <c r="F245" s="8"/>
      <c r="G245" s="8" t="s">
        <v>998</v>
      </c>
      <c r="H245" s="8" t="s">
        <v>47</v>
      </c>
      <c r="I245" s="8"/>
    </row>
    <row r="246" customFormat="false" ht="15" hidden="false" customHeight="false" outlineLevel="0" collapsed="false">
      <c r="A246" s="8" t="s">
        <v>999</v>
      </c>
      <c r="B246" s="8" t="s">
        <v>1000</v>
      </c>
      <c r="C246" s="8" t="s">
        <v>62</v>
      </c>
      <c r="D246" s="8" t="s">
        <v>295</v>
      </c>
      <c r="E246" s="8" t="s">
        <v>1001</v>
      </c>
      <c r="F246" s="8"/>
      <c r="G246" s="8" t="s">
        <v>45</v>
      </c>
      <c r="H246" s="8" t="s">
        <v>47</v>
      </c>
      <c r="I246" s="8"/>
    </row>
    <row r="247" customFormat="false" ht="15" hidden="false" customHeight="false" outlineLevel="0" collapsed="false">
      <c r="A247" s="9" t="s">
        <v>17</v>
      </c>
      <c r="B247" s="9" t="s">
        <v>18</v>
      </c>
      <c r="C247" s="9" t="s">
        <v>20</v>
      </c>
      <c r="D247" s="9"/>
      <c r="E247" s="9" t="s">
        <v>19</v>
      </c>
      <c r="F247" s="9"/>
      <c r="G247" s="9" t="s">
        <v>221</v>
      </c>
      <c r="H247" s="9" t="s">
        <v>47</v>
      </c>
      <c r="I247" s="9" t="s">
        <v>16</v>
      </c>
    </row>
    <row r="248" customFormat="false" ht="15" hidden="false" customHeight="false" outlineLevel="0" collapsed="false">
      <c r="A248" s="8" t="s">
        <v>1002</v>
      </c>
      <c r="B248" s="8" t="s">
        <v>1003</v>
      </c>
      <c r="C248" s="8" t="s">
        <v>229</v>
      </c>
      <c r="D248" s="8" t="s">
        <v>1004</v>
      </c>
      <c r="E248" s="8" t="s">
        <v>1005</v>
      </c>
      <c r="F248" s="8"/>
      <c r="G248" s="8" t="s">
        <v>114</v>
      </c>
      <c r="H248" s="8" t="s">
        <v>47</v>
      </c>
      <c r="I248" s="8"/>
    </row>
    <row r="249" customFormat="false" ht="15" hidden="false" customHeight="false" outlineLevel="0" collapsed="false">
      <c r="A249" s="8" t="s">
        <v>1006</v>
      </c>
      <c r="B249" s="8" t="s">
        <v>1007</v>
      </c>
      <c r="C249" s="8" t="s">
        <v>133</v>
      </c>
      <c r="D249" s="8" t="s">
        <v>1008</v>
      </c>
      <c r="E249" s="8" t="s">
        <v>1009</v>
      </c>
      <c r="F249" s="8"/>
      <c r="G249" s="8" t="s">
        <v>325</v>
      </c>
      <c r="H249" s="8" t="s">
        <v>47</v>
      </c>
      <c r="I249" s="8"/>
    </row>
    <row r="250" customFormat="false" ht="15" hidden="false" customHeight="false" outlineLevel="0" collapsed="false">
      <c r="A250" s="8" t="s">
        <v>1010</v>
      </c>
      <c r="B250" s="8" t="s">
        <v>1011</v>
      </c>
      <c r="C250" s="8" t="s">
        <v>1012</v>
      </c>
      <c r="D250" s="8" t="s">
        <v>1013</v>
      </c>
      <c r="E250" s="8" t="s">
        <v>1014</v>
      </c>
      <c r="F250" s="8"/>
      <c r="G250" s="8" t="s">
        <v>218</v>
      </c>
      <c r="H250" s="8" t="s">
        <v>47</v>
      </c>
      <c r="I250" s="8"/>
    </row>
    <row r="251" customFormat="false" ht="15" hidden="false" customHeight="false" outlineLevel="0" collapsed="false">
      <c r="A251" s="8" t="s">
        <v>1015</v>
      </c>
      <c r="B251" s="8" t="s">
        <v>1016</v>
      </c>
      <c r="C251" s="8" t="s">
        <v>133</v>
      </c>
      <c r="D251" s="8" t="s">
        <v>315</v>
      </c>
      <c r="E251" s="8" t="s">
        <v>1017</v>
      </c>
      <c r="F251" s="8"/>
      <c r="G251" s="8" t="s">
        <v>232</v>
      </c>
      <c r="H251" s="8" t="s">
        <v>47</v>
      </c>
      <c r="I251" s="8"/>
    </row>
    <row r="252" customFormat="false" ht="15" hidden="false" customHeight="false" outlineLevel="0" collapsed="false">
      <c r="A252" s="8" t="s">
        <v>1018</v>
      </c>
      <c r="B252" s="8" t="s">
        <v>1019</v>
      </c>
      <c r="C252" s="8" t="s">
        <v>1020</v>
      </c>
      <c r="D252" s="8" t="s">
        <v>1021</v>
      </c>
      <c r="E252" s="8" t="s">
        <v>612</v>
      </c>
      <c r="F252" s="8"/>
      <c r="G252" s="8" t="s">
        <v>232</v>
      </c>
      <c r="H252" s="8" t="s">
        <v>47</v>
      </c>
      <c r="I252" s="8"/>
    </row>
    <row r="253" customFormat="false" ht="15" hidden="false" customHeight="false" outlineLevel="0" collapsed="false">
      <c r="A253" s="8" t="s">
        <v>1022</v>
      </c>
      <c r="B253" s="8" t="s">
        <v>1023</v>
      </c>
      <c r="C253" s="8" t="s">
        <v>1020</v>
      </c>
      <c r="D253" s="8" t="s">
        <v>1021</v>
      </c>
      <c r="E253" s="8" t="s">
        <v>1024</v>
      </c>
      <c r="F253" s="8"/>
      <c r="G253" s="8" t="s">
        <v>207</v>
      </c>
      <c r="H253" s="8" t="s">
        <v>47</v>
      </c>
      <c r="I253" s="8"/>
    </row>
    <row r="254" customFormat="false" ht="15" hidden="false" customHeight="false" outlineLevel="0" collapsed="false">
      <c r="A254" s="8" t="s">
        <v>1025</v>
      </c>
      <c r="B254" s="8" t="s">
        <v>1026</v>
      </c>
      <c r="C254" s="8" t="s">
        <v>1027</v>
      </c>
      <c r="D254" s="8" t="s">
        <v>189</v>
      </c>
      <c r="E254" s="8" t="s">
        <v>1028</v>
      </c>
      <c r="F254" s="8"/>
      <c r="G254" s="8" t="s">
        <v>1029</v>
      </c>
      <c r="H254" s="8" t="s">
        <v>47</v>
      </c>
      <c r="I254" s="8"/>
    </row>
    <row r="255" customFormat="false" ht="15" hidden="false" customHeight="false" outlineLevel="0" collapsed="false">
      <c r="A255" s="8" t="s">
        <v>1030</v>
      </c>
      <c r="B255" s="8" t="s">
        <v>1031</v>
      </c>
      <c r="C255" s="8" t="s">
        <v>244</v>
      </c>
      <c r="D255" s="8" t="s">
        <v>189</v>
      </c>
      <c r="E255" s="8" t="s">
        <v>1032</v>
      </c>
      <c r="F255" s="8"/>
      <c r="G255" s="8" t="s">
        <v>1029</v>
      </c>
      <c r="H255" s="8" t="s">
        <v>47</v>
      </c>
      <c r="I255" s="8"/>
    </row>
    <row r="256" customFormat="false" ht="15" hidden="false" customHeight="false" outlineLevel="0" collapsed="false">
      <c r="A256" s="8" t="s">
        <v>1033</v>
      </c>
      <c r="B256" s="8" t="s">
        <v>1034</v>
      </c>
      <c r="C256" s="8" t="s">
        <v>133</v>
      </c>
      <c r="D256" s="8" t="s">
        <v>980</v>
      </c>
      <c r="E256" s="8" t="s">
        <v>1035</v>
      </c>
      <c r="F256" s="8"/>
      <c r="G256" s="8" t="s">
        <v>161</v>
      </c>
      <c r="H256" s="8" t="s">
        <v>47</v>
      </c>
      <c r="I256" s="8"/>
    </row>
    <row r="257" customFormat="false" ht="15" hidden="false" customHeight="false" outlineLevel="0" collapsed="false">
      <c r="A257" s="8" t="s">
        <v>1036</v>
      </c>
      <c r="B257" s="8" t="s">
        <v>1037</v>
      </c>
      <c r="C257" s="8" t="s">
        <v>133</v>
      </c>
      <c r="D257" s="8" t="s">
        <v>980</v>
      </c>
      <c r="E257" s="8" t="s">
        <v>1038</v>
      </c>
      <c r="F257" s="8"/>
      <c r="G257" s="8" t="s">
        <v>76</v>
      </c>
      <c r="H257" s="8" t="s">
        <v>47</v>
      </c>
      <c r="I257" s="8"/>
    </row>
    <row r="258" customFormat="false" ht="15" hidden="false" customHeight="false" outlineLevel="0" collapsed="false">
      <c r="A258" s="8" t="s">
        <v>1039</v>
      </c>
      <c r="B258" s="8" t="s">
        <v>1040</v>
      </c>
      <c r="C258" s="8" t="s">
        <v>20</v>
      </c>
      <c r="D258" s="8" t="s">
        <v>1041</v>
      </c>
      <c r="E258" s="8" t="s">
        <v>1042</v>
      </c>
      <c r="F258" s="8"/>
      <c r="G258" s="8" t="s">
        <v>591</v>
      </c>
      <c r="H258" s="8" t="s">
        <v>47</v>
      </c>
      <c r="I258" s="8"/>
    </row>
    <row r="259" customFormat="false" ht="15" hidden="false" customHeight="false" outlineLevel="0" collapsed="false">
      <c r="A259" s="8" t="s">
        <v>1043</v>
      </c>
      <c r="B259" s="8" t="s">
        <v>1044</v>
      </c>
      <c r="C259" s="8" t="s">
        <v>239</v>
      </c>
      <c r="D259" s="8" t="s">
        <v>1045</v>
      </c>
      <c r="E259" s="8" t="s">
        <v>1046</v>
      </c>
      <c r="F259" s="8"/>
      <c r="G259" s="8" t="s">
        <v>135</v>
      </c>
      <c r="H259" s="8" t="s">
        <v>47</v>
      </c>
      <c r="I259" s="8"/>
    </row>
    <row r="260" customFormat="false" ht="15" hidden="false" customHeight="false" outlineLevel="0" collapsed="false">
      <c r="A260" s="8" t="s">
        <v>1047</v>
      </c>
      <c r="B260" s="8" t="s">
        <v>1048</v>
      </c>
      <c r="C260" s="8" t="s">
        <v>239</v>
      </c>
      <c r="D260" s="8" t="s">
        <v>1045</v>
      </c>
      <c r="E260" s="8" t="s">
        <v>1049</v>
      </c>
      <c r="F260" s="8"/>
      <c r="G260" s="8" t="s">
        <v>261</v>
      </c>
      <c r="H260" s="8" t="s">
        <v>47</v>
      </c>
      <c r="I260" s="8"/>
    </row>
    <row r="261" customFormat="false" ht="15" hidden="false" customHeight="false" outlineLevel="0" collapsed="false">
      <c r="A261" s="8" t="s">
        <v>1050</v>
      </c>
      <c r="B261" s="8" t="s">
        <v>1051</v>
      </c>
      <c r="C261" s="8" t="s">
        <v>239</v>
      </c>
      <c r="D261" s="8" t="s">
        <v>247</v>
      </c>
      <c r="E261" s="8" t="s">
        <v>1052</v>
      </c>
      <c r="F261" s="8"/>
      <c r="G261" s="8" t="s">
        <v>429</v>
      </c>
      <c r="H261" s="8" t="s">
        <v>47</v>
      </c>
      <c r="I261" s="8"/>
    </row>
    <row r="262" customFormat="false" ht="15" hidden="false" customHeight="false" outlineLevel="0" collapsed="false">
      <c r="A262" s="8" t="s">
        <v>1053</v>
      </c>
      <c r="B262" s="8" t="s">
        <v>1054</v>
      </c>
      <c r="C262" s="8" t="s">
        <v>1012</v>
      </c>
      <c r="D262" s="8" t="s">
        <v>1055</v>
      </c>
      <c r="E262" s="8" t="s">
        <v>1056</v>
      </c>
      <c r="F262" s="8"/>
      <c r="G262" s="8" t="s">
        <v>202</v>
      </c>
      <c r="H262" s="8" t="s">
        <v>47</v>
      </c>
      <c r="I262" s="8"/>
    </row>
    <row r="263" customFormat="false" ht="15" hidden="false" customHeight="false" outlineLevel="0" collapsed="false">
      <c r="A263" s="9" t="s">
        <v>17</v>
      </c>
      <c r="B263" s="9" t="s">
        <v>22</v>
      </c>
      <c r="C263" s="9" t="s">
        <v>20</v>
      </c>
      <c r="D263" s="9" t="s">
        <v>205</v>
      </c>
      <c r="E263" s="9" t="s">
        <v>19</v>
      </c>
      <c r="F263" s="9"/>
      <c r="G263" s="9" t="s">
        <v>218</v>
      </c>
      <c r="H263" s="9" t="s">
        <v>47</v>
      </c>
      <c r="I263" s="9" t="s">
        <v>16</v>
      </c>
    </row>
    <row r="264" customFormat="false" ht="15" hidden="false" customHeight="false" outlineLevel="0" collapsed="false">
      <c r="A264" s="8" t="s">
        <v>1057</v>
      </c>
      <c r="B264" s="8" t="s">
        <v>1058</v>
      </c>
      <c r="C264" s="8" t="s">
        <v>1027</v>
      </c>
      <c r="D264" s="8" t="s">
        <v>1059</v>
      </c>
      <c r="E264" s="8" t="s">
        <v>1060</v>
      </c>
      <c r="F264" s="8"/>
      <c r="G264" s="8" t="s">
        <v>1061</v>
      </c>
      <c r="H264" s="8" t="s">
        <v>47</v>
      </c>
      <c r="I264" s="8"/>
    </row>
    <row r="265" customFormat="false" ht="15" hidden="false" customHeight="false" outlineLevel="0" collapsed="false">
      <c r="A265" s="8" t="s">
        <v>1062</v>
      </c>
      <c r="B265" s="8" t="s">
        <v>1063</v>
      </c>
      <c r="C265" s="8" t="s">
        <v>1020</v>
      </c>
      <c r="D265" s="8" t="s">
        <v>1064</v>
      </c>
      <c r="E265" s="8" t="s">
        <v>1065</v>
      </c>
      <c r="F265" s="8"/>
      <c r="G265" s="8" t="s">
        <v>325</v>
      </c>
      <c r="H265" s="8" t="s">
        <v>47</v>
      </c>
      <c r="I265" s="8"/>
    </row>
    <row r="266" customFormat="false" ht="15" hidden="false" customHeight="false" outlineLevel="0" collapsed="false">
      <c r="A266" s="8" t="s">
        <v>1066</v>
      </c>
      <c r="B266" s="8" t="s">
        <v>1067</v>
      </c>
      <c r="C266" s="8" t="s">
        <v>239</v>
      </c>
      <c r="D266" s="8" t="s">
        <v>1068</v>
      </c>
      <c r="E266" s="8" t="s">
        <v>1069</v>
      </c>
      <c r="F266" s="8"/>
      <c r="G266" s="8" t="s">
        <v>967</v>
      </c>
      <c r="H266" s="8" t="s">
        <v>47</v>
      </c>
      <c r="I266" s="8"/>
    </row>
    <row r="267" customFormat="false" ht="15" hidden="false" customHeight="false" outlineLevel="0" collapsed="false">
      <c r="A267" s="8" t="s">
        <v>1070</v>
      </c>
      <c r="B267" s="8" t="s">
        <v>1071</v>
      </c>
      <c r="C267" s="8" t="s">
        <v>183</v>
      </c>
      <c r="D267" s="8" t="s">
        <v>1072</v>
      </c>
      <c r="E267" s="8" t="s">
        <v>1073</v>
      </c>
      <c r="F267" s="8"/>
      <c r="G267" s="8" t="s">
        <v>629</v>
      </c>
      <c r="H267" s="8" t="s">
        <v>47</v>
      </c>
      <c r="I267" s="8"/>
    </row>
    <row r="268" customFormat="false" ht="15" hidden="false" customHeight="false" outlineLevel="0" collapsed="false">
      <c r="A268" s="8" t="s">
        <v>1074</v>
      </c>
      <c r="B268" s="8" t="s">
        <v>1075</v>
      </c>
      <c r="C268" s="8" t="s">
        <v>183</v>
      </c>
      <c r="D268" s="8" t="s">
        <v>1076</v>
      </c>
      <c r="E268" s="8" t="s">
        <v>1077</v>
      </c>
      <c r="F268" s="8"/>
      <c r="G268" s="8" t="s">
        <v>135</v>
      </c>
      <c r="H268" s="8" t="s">
        <v>47</v>
      </c>
      <c r="I268" s="8"/>
    </row>
    <row r="269" customFormat="false" ht="15" hidden="false" customHeight="false" outlineLevel="0" collapsed="false">
      <c r="A269" s="8" t="s">
        <v>1078</v>
      </c>
      <c r="B269" s="8" t="s">
        <v>1079</v>
      </c>
      <c r="C269" s="8" t="s">
        <v>183</v>
      </c>
      <c r="D269" s="8" t="s">
        <v>1076</v>
      </c>
      <c r="E269" s="8" t="s">
        <v>1080</v>
      </c>
      <c r="F269" s="8"/>
      <c r="G269" s="8" t="s">
        <v>120</v>
      </c>
      <c r="H269" s="8" t="s">
        <v>47</v>
      </c>
      <c r="I269" s="8"/>
    </row>
    <row r="270" customFormat="false" ht="15" hidden="false" customHeight="false" outlineLevel="0" collapsed="false">
      <c r="A270" s="8" t="s">
        <v>1081</v>
      </c>
      <c r="B270" s="8" t="s">
        <v>1082</v>
      </c>
      <c r="C270" s="8" t="s">
        <v>183</v>
      </c>
      <c r="D270" s="8" t="s">
        <v>1076</v>
      </c>
      <c r="E270" s="8" t="s">
        <v>1083</v>
      </c>
      <c r="F270" s="8"/>
      <c r="G270" s="8" t="s">
        <v>120</v>
      </c>
      <c r="H270" s="8" t="s">
        <v>47</v>
      </c>
      <c r="I270" s="8"/>
    </row>
    <row r="271" customFormat="false" ht="15" hidden="false" customHeight="false" outlineLevel="0" collapsed="false">
      <c r="A271" s="8" t="s">
        <v>1084</v>
      </c>
      <c r="B271" s="8" t="s">
        <v>1085</v>
      </c>
      <c r="C271" s="8" t="s">
        <v>183</v>
      </c>
      <c r="D271" s="8" t="s">
        <v>1086</v>
      </c>
      <c r="E271" s="8" t="s">
        <v>1087</v>
      </c>
      <c r="F271" s="8"/>
      <c r="G271" s="8" t="s">
        <v>218</v>
      </c>
      <c r="H271" s="8" t="s">
        <v>47</v>
      </c>
      <c r="I271" s="8"/>
    </row>
    <row r="272" customFormat="false" ht="15" hidden="false" customHeight="false" outlineLevel="0" collapsed="false">
      <c r="A272" s="8" t="s">
        <v>1088</v>
      </c>
      <c r="B272" s="8" t="s">
        <v>1089</v>
      </c>
      <c r="C272" s="8" t="s">
        <v>183</v>
      </c>
      <c r="D272" s="8" t="s">
        <v>1076</v>
      </c>
      <c r="E272" s="8" t="s">
        <v>1090</v>
      </c>
      <c r="F272" s="8"/>
      <c r="G272" s="8" t="s">
        <v>120</v>
      </c>
      <c r="H272" s="8" t="s">
        <v>47</v>
      </c>
      <c r="I272" s="8"/>
    </row>
    <row r="273" customFormat="false" ht="15" hidden="false" customHeight="false" outlineLevel="0" collapsed="false">
      <c r="A273" s="8" t="s">
        <v>1091</v>
      </c>
      <c r="B273" s="8" t="s">
        <v>1092</v>
      </c>
      <c r="C273" s="8" t="s">
        <v>183</v>
      </c>
      <c r="D273" s="8" t="s">
        <v>1076</v>
      </c>
      <c r="E273" s="8" t="s">
        <v>1093</v>
      </c>
      <c r="F273" s="8"/>
      <c r="G273" s="8" t="s">
        <v>325</v>
      </c>
      <c r="H273" s="8" t="s">
        <v>47</v>
      </c>
      <c r="I273" s="8"/>
    </row>
    <row r="274" customFormat="false" ht="15" hidden="false" customHeight="false" outlineLevel="0" collapsed="false">
      <c r="A274" s="8" t="s">
        <v>1094</v>
      </c>
      <c r="B274" s="8" t="s">
        <v>1095</v>
      </c>
      <c r="C274" s="8" t="s">
        <v>183</v>
      </c>
      <c r="D274" s="8" t="s">
        <v>1076</v>
      </c>
      <c r="E274" s="8" t="s">
        <v>1096</v>
      </c>
      <c r="F274" s="8"/>
      <c r="G274" s="8" t="s">
        <v>161</v>
      </c>
      <c r="H274" s="8" t="s">
        <v>47</v>
      </c>
      <c r="I274" s="8"/>
    </row>
    <row r="275" customFormat="false" ht="15" hidden="false" customHeight="false" outlineLevel="0" collapsed="false">
      <c r="A275" s="8" t="s">
        <v>1097</v>
      </c>
      <c r="B275" s="8" t="s">
        <v>1098</v>
      </c>
      <c r="C275" s="8" t="s">
        <v>183</v>
      </c>
      <c r="D275" s="8" t="s">
        <v>820</v>
      </c>
      <c r="E275" s="8" t="s">
        <v>1099</v>
      </c>
      <c r="F275" s="8"/>
      <c r="G275" s="8" t="s">
        <v>791</v>
      </c>
      <c r="H275" s="8" t="s">
        <v>47</v>
      </c>
      <c r="I275" s="8"/>
    </row>
    <row r="276" customFormat="false" ht="15" hidden="false" customHeight="false" outlineLevel="0" collapsed="false">
      <c r="A276" s="8" t="s">
        <v>1100</v>
      </c>
      <c r="B276" s="8" t="s">
        <v>1101</v>
      </c>
      <c r="C276" s="8" t="s">
        <v>183</v>
      </c>
      <c r="D276" s="8" t="s">
        <v>1102</v>
      </c>
      <c r="E276" s="8" t="s">
        <v>1103</v>
      </c>
      <c r="F276" s="8"/>
      <c r="G276" s="8" t="s">
        <v>1104</v>
      </c>
      <c r="H276" s="8" t="s">
        <v>47</v>
      </c>
      <c r="I276" s="8"/>
    </row>
    <row r="277" customFormat="false" ht="15" hidden="false" customHeight="false" outlineLevel="0" collapsed="false">
      <c r="A277" s="8" t="s">
        <v>1105</v>
      </c>
      <c r="B277" s="8" t="s">
        <v>1106</v>
      </c>
      <c r="C277" s="8" t="s">
        <v>183</v>
      </c>
      <c r="D277" s="8" t="s">
        <v>1107</v>
      </c>
      <c r="E277" s="8" t="s">
        <v>1108</v>
      </c>
      <c r="F277" s="8"/>
      <c r="G277" s="8" t="s">
        <v>1109</v>
      </c>
      <c r="H277" s="8" t="s">
        <v>47</v>
      </c>
      <c r="I277" s="8"/>
    </row>
    <row r="278" customFormat="false" ht="15" hidden="false" customHeight="false" outlineLevel="0" collapsed="false">
      <c r="A278" s="8" t="s">
        <v>1110</v>
      </c>
      <c r="B278" s="8" t="s">
        <v>1111</v>
      </c>
      <c r="C278" s="8" t="s">
        <v>183</v>
      </c>
      <c r="D278" s="8" t="s">
        <v>1076</v>
      </c>
      <c r="E278" s="8" t="s">
        <v>1112</v>
      </c>
      <c r="F278" s="8"/>
      <c r="G278" s="8" t="s">
        <v>325</v>
      </c>
      <c r="H278" s="8" t="s">
        <v>47</v>
      </c>
      <c r="I278" s="8"/>
    </row>
    <row r="279" customFormat="false" ht="15" hidden="false" customHeight="false" outlineLevel="0" collapsed="false">
      <c r="A279" s="8" t="s">
        <v>1113</v>
      </c>
      <c r="B279" s="8" t="s">
        <v>1114</v>
      </c>
      <c r="C279" s="8" t="s">
        <v>1020</v>
      </c>
      <c r="D279" s="8" t="s">
        <v>1021</v>
      </c>
      <c r="E279" s="8" t="s">
        <v>1115</v>
      </c>
      <c r="F279" s="8"/>
      <c r="G279" s="8" t="s">
        <v>218</v>
      </c>
      <c r="H279" s="8" t="s">
        <v>47</v>
      </c>
      <c r="I279" s="8"/>
    </row>
    <row r="280" customFormat="false" ht="15" hidden="false" customHeight="false" outlineLevel="0" collapsed="false">
      <c r="A280" s="8" t="s">
        <v>1116</v>
      </c>
      <c r="B280" s="8" t="s">
        <v>1117</v>
      </c>
      <c r="C280" s="8" t="s">
        <v>1020</v>
      </c>
      <c r="D280" s="8" t="s">
        <v>1021</v>
      </c>
      <c r="E280" s="8" t="s">
        <v>1118</v>
      </c>
      <c r="F280" s="8"/>
      <c r="G280" s="8" t="s">
        <v>218</v>
      </c>
      <c r="H280" s="8" t="s">
        <v>47</v>
      </c>
      <c r="I280" s="8"/>
    </row>
    <row r="281" customFormat="false" ht="15" hidden="false" customHeight="false" outlineLevel="0" collapsed="false">
      <c r="A281" s="8" t="s">
        <v>1119</v>
      </c>
      <c r="B281" s="8" t="s">
        <v>1120</v>
      </c>
      <c r="C281" s="8" t="s">
        <v>1020</v>
      </c>
      <c r="D281" s="8" t="s">
        <v>1021</v>
      </c>
      <c r="E281" s="8" t="s">
        <v>1121</v>
      </c>
      <c r="F281" s="8"/>
      <c r="G281" s="8" t="s">
        <v>218</v>
      </c>
      <c r="H281" s="8" t="s">
        <v>47</v>
      </c>
      <c r="I281" s="8"/>
    </row>
    <row r="282" customFormat="false" ht="15" hidden="false" customHeight="false" outlineLevel="0" collapsed="false">
      <c r="A282" s="8" t="s">
        <v>1122</v>
      </c>
      <c r="B282" s="8" t="s">
        <v>1123</v>
      </c>
      <c r="C282" s="8" t="s">
        <v>1020</v>
      </c>
      <c r="D282" s="8" t="s">
        <v>1021</v>
      </c>
      <c r="E282" s="8" t="s">
        <v>1124</v>
      </c>
      <c r="F282" s="8"/>
      <c r="G282" s="8" t="s">
        <v>218</v>
      </c>
      <c r="H282" s="8" t="s">
        <v>47</v>
      </c>
      <c r="I282" s="8"/>
    </row>
    <row r="283" customFormat="false" ht="15" hidden="false" customHeight="false" outlineLevel="0" collapsed="false">
      <c r="A283" s="8" t="s">
        <v>1125</v>
      </c>
      <c r="B283" s="8" t="s">
        <v>1126</v>
      </c>
      <c r="C283" s="8" t="s">
        <v>1027</v>
      </c>
      <c r="D283" s="8" t="s">
        <v>189</v>
      </c>
      <c r="E283" s="8" t="s">
        <v>1127</v>
      </c>
      <c r="F283" s="8"/>
      <c r="G283" s="8" t="s">
        <v>1029</v>
      </c>
      <c r="H283" s="8" t="s">
        <v>47</v>
      </c>
      <c r="I283" s="8"/>
    </row>
    <row r="284" customFormat="false" ht="15" hidden="false" customHeight="false" outlineLevel="0" collapsed="false">
      <c r="A284" s="8" t="s">
        <v>1128</v>
      </c>
      <c r="B284" s="8" t="s">
        <v>1129</v>
      </c>
      <c r="C284" s="8" t="s">
        <v>1027</v>
      </c>
      <c r="D284" s="8" t="s">
        <v>189</v>
      </c>
      <c r="E284" s="8" t="s">
        <v>1130</v>
      </c>
      <c r="F284" s="8"/>
      <c r="G284" s="8" t="s">
        <v>1029</v>
      </c>
      <c r="H284" s="8" t="s">
        <v>47</v>
      </c>
      <c r="I284" s="8"/>
    </row>
    <row r="285" customFormat="false" ht="15" hidden="false" customHeight="false" outlineLevel="0" collapsed="false">
      <c r="A285" s="8" t="s">
        <v>1131</v>
      </c>
      <c r="B285" s="8" t="s">
        <v>1132</v>
      </c>
      <c r="C285" s="8" t="s">
        <v>36</v>
      </c>
      <c r="D285" s="8" t="s">
        <v>820</v>
      </c>
      <c r="E285" s="8" t="s">
        <v>1133</v>
      </c>
      <c r="F285" s="8"/>
      <c r="G285" s="8" t="s">
        <v>45</v>
      </c>
      <c r="H285" s="8" t="s">
        <v>47</v>
      </c>
      <c r="I285" s="8"/>
    </row>
    <row r="286" customFormat="false" ht="15" hidden="false" customHeight="false" outlineLevel="0" collapsed="false">
      <c r="A286" s="8" t="s">
        <v>1134</v>
      </c>
      <c r="B286" s="8" t="s">
        <v>1135</v>
      </c>
      <c r="C286" s="8" t="s">
        <v>133</v>
      </c>
      <c r="D286" s="8" t="s">
        <v>1008</v>
      </c>
      <c r="E286" s="8" t="s">
        <v>1136</v>
      </c>
      <c r="F286" s="8"/>
      <c r="G286" s="8" t="s">
        <v>1137</v>
      </c>
      <c r="H286" s="8" t="s">
        <v>47</v>
      </c>
      <c r="I286" s="8"/>
    </row>
    <row r="287" customFormat="false" ht="15" hidden="false" customHeight="false" outlineLevel="0" collapsed="false">
      <c r="A287" s="8" t="s">
        <v>1138</v>
      </c>
      <c r="B287" s="8" t="s">
        <v>1139</v>
      </c>
      <c r="C287" s="8" t="s">
        <v>36</v>
      </c>
      <c r="D287" s="8" t="s">
        <v>820</v>
      </c>
      <c r="E287" s="8" t="s">
        <v>1140</v>
      </c>
      <c r="F287" s="8"/>
      <c r="G287" s="8" t="s">
        <v>1141</v>
      </c>
      <c r="H287" s="8" t="s">
        <v>47</v>
      </c>
      <c r="I287" s="8"/>
    </row>
    <row r="288" customFormat="false" ht="15" hidden="false" customHeight="false" outlineLevel="0" collapsed="false">
      <c r="A288" s="8" t="s">
        <v>1142</v>
      </c>
      <c r="B288" s="8" t="s">
        <v>1143</v>
      </c>
      <c r="C288" s="8" t="s">
        <v>133</v>
      </c>
      <c r="D288" s="8" t="s">
        <v>1008</v>
      </c>
      <c r="E288" s="8" t="s">
        <v>1144</v>
      </c>
      <c r="F288" s="8"/>
      <c r="G288" s="8" t="s">
        <v>1137</v>
      </c>
      <c r="H288" s="8" t="s">
        <v>47</v>
      </c>
      <c r="I288" s="8"/>
    </row>
    <row r="289" customFormat="false" ht="15" hidden="false" customHeight="false" outlineLevel="0" collapsed="false">
      <c r="A289" s="8" t="s">
        <v>1145</v>
      </c>
      <c r="B289" s="8" t="s">
        <v>1146</v>
      </c>
      <c r="C289" s="8" t="s">
        <v>133</v>
      </c>
      <c r="D289" s="8" t="s">
        <v>1008</v>
      </c>
      <c r="E289" s="8" t="s">
        <v>1147</v>
      </c>
      <c r="F289" s="8"/>
      <c r="G289" s="8" t="s">
        <v>1148</v>
      </c>
      <c r="H289" s="8" t="s">
        <v>47</v>
      </c>
      <c r="I289" s="8"/>
    </row>
    <row r="290" customFormat="false" ht="15" hidden="false" customHeight="false" outlineLevel="0" collapsed="false">
      <c r="A290" s="8" t="s">
        <v>1149</v>
      </c>
      <c r="B290" s="8" t="s">
        <v>1150</v>
      </c>
      <c r="C290" s="8" t="s">
        <v>133</v>
      </c>
      <c r="D290" s="8" t="s">
        <v>1008</v>
      </c>
      <c r="E290" s="8" t="s">
        <v>1151</v>
      </c>
      <c r="F290" s="8"/>
      <c r="G290" s="8" t="s">
        <v>1152</v>
      </c>
      <c r="H290" s="8" t="s">
        <v>47</v>
      </c>
      <c r="I290" s="8"/>
    </row>
    <row r="291" customFormat="false" ht="15" hidden="false" customHeight="false" outlineLevel="0" collapsed="false">
      <c r="A291" s="8" t="s">
        <v>1153</v>
      </c>
      <c r="B291" s="8" t="s">
        <v>1154</v>
      </c>
      <c r="C291" s="8" t="s">
        <v>133</v>
      </c>
      <c r="D291" s="8" t="s">
        <v>1008</v>
      </c>
      <c r="E291" s="8" t="s">
        <v>1155</v>
      </c>
      <c r="F291" s="8"/>
      <c r="G291" s="8" t="s">
        <v>1156</v>
      </c>
      <c r="H291" s="8" t="s">
        <v>47</v>
      </c>
      <c r="I291" s="8"/>
    </row>
    <row r="292" customFormat="false" ht="15" hidden="false" customHeight="false" outlineLevel="0" collapsed="false">
      <c r="A292" s="8" t="s">
        <v>1157</v>
      </c>
      <c r="B292" s="8" t="s">
        <v>1158</v>
      </c>
      <c r="C292" s="8" t="s">
        <v>133</v>
      </c>
      <c r="D292" s="8" t="s">
        <v>1008</v>
      </c>
      <c r="E292" s="8" t="s">
        <v>1159</v>
      </c>
      <c r="F292" s="8"/>
      <c r="G292" s="8" t="s">
        <v>1160</v>
      </c>
      <c r="H292" s="8" t="s">
        <v>47</v>
      </c>
      <c r="I292" s="8"/>
    </row>
    <row r="293" customFormat="false" ht="15" hidden="false" customHeight="false" outlineLevel="0" collapsed="false">
      <c r="A293" s="8" t="s">
        <v>1161</v>
      </c>
      <c r="B293" s="8" t="s">
        <v>1162</v>
      </c>
      <c r="C293" s="8" t="s">
        <v>133</v>
      </c>
      <c r="D293" s="8" t="s">
        <v>1008</v>
      </c>
      <c r="E293" s="8" t="s">
        <v>1163</v>
      </c>
      <c r="F293" s="8"/>
      <c r="G293" s="8" t="s">
        <v>1164</v>
      </c>
      <c r="H293" s="8" t="s">
        <v>47</v>
      </c>
      <c r="I293" s="8"/>
    </row>
    <row r="294" customFormat="false" ht="15" hidden="false" customHeight="false" outlineLevel="0" collapsed="false">
      <c r="A294" s="8" t="s">
        <v>1165</v>
      </c>
      <c r="B294" s="8" t="s">
        <v>1166</v>
      </c>
      <c r="C294" s="8" t="s">
        <v>133</v>
      </c>
      <c r="D294" s="8" t="s">
        <v>1008</v>
      </c>
      <c r="E294" s="8" t="s">
        <v>1167</v>
      </c>
      <c r="F294" s="8"/>
      <c r="G294" s="8" t="s">
        <v>1168</v>
      </c>
      <c r="H294" s="8" t="s">
        <v>47</v>
      </c>
      <c r="I294" s="8"/>
    </row>
    <row r="295" customFormat="false" ht="15" hidden="false" customHeight="false" outlineLevel="0" collapsed="false">
      <c r="A295" s="8" t="s">
        <v>1169</v>
      </c>
      <c r="B295" s="8" t="s">
        <v>1170</v>
      </c>
      <c r="C295" s="8" t="s">
        <v>133</v>
      </c>
      <c r="D295" s="8" t="s">
        <v>1008</v>
      </c>
      <c r="E295" s="8" t="s">
        <v>1171</v>
      </c>
      <c r="F295" s="8"/>
      <c r="G295" s="8" t="s">
        <v>1172</v>
      </c>
      <c r="H295" s="8" t="s">
        <v>47</v>
      </c>
      <c r="I295" s="8"/>
    </row>
    <row r="296" customFormat="false" ht="15" hidden="false" customHeight="false" outlineLevel="0" collapsed="false">
      <c r="A296" s="8" t="s">
        <v>1173</v>
      </c>
      <c r="B296" s="8" t="s">
        <v>1174</v>
      </c>
      <c r="C296" s="8" t="s">
        <v>133</v>
      </c>
      <c r="D296" s="8" t="s">
        <v>1008</v>
      </c>
      <c r="E296" s="8" t="s">
        <v>1175</v>
      </c>
      <c r="F296" s="8"/>
      <c r="G296" s="8" t="s">
        <v>1176</v>
      </c>
      <c r="H296" s="8" t="s">
        <v>47</v>
      </c>
      <c r="I296" s="8"/>
    </row>
    <row r="297" customFormat="false" ht="15" hidden="false" customHeight="false" outlineLevel="0" collapsed="false">
      <c r="A297" s="8" t="s">
        <v>1177</v>
      </c>
      <c r="B297" s="8" t="s">
        <v>1178</v>
      </c>
      <c r="C297" s="8" t="s">
        <v>133</v>
      </c>
      <c r="D297" s="8" t="s">
        <v>1008</v>
      </c>
      <c r="E297" s="8" t="s">
        <v>1179</v>
      </c>
      <c r="F297" s="8"/>
      <c r="G297" s="8" t="s">
        <v>1180</v>
      </c>
      <c r="H297" s="8" t="s">
        <v>47</v>
      </c>
      <c r="I297" s="8"/>
    </row>
    <row r="298" customFormat="false" ht="15" hidden="false" customHeight="false" outlineLevel="0" collapsed="false">
      <c r="A298" s="9" t="s">
        <v>15</v>
      </c>
      <c r="B298" s="9" t="s">
        <v>11</v>
      </c>
      <c r="C298" s="9" t="s">
        <v>43</v>
      </c>
      <c r="D298" s="9" t="s">
        <v>44</v>
      </c>
      <c r="E298" s="9" t="s">
        <v>12</v>
      </c>
      <c r="F298" s="9"/>
      <c r="G298" s="9" t="s">
        <v>268</v>
      </c>
      <c r="H298" s="9" t="s">
        <v>47</v>
      </c>
      <c r="I298" s="9" t="s">
        <v>9</v>
      </c>
    </row>
  </sheetData>
  <autoFilter ref="A1:I2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1181</v>
      </c>
    </row>
    <row r="2" customFormat="false" ht="15" hidden="false" customHeight="false" outlineLevel="0" collapsed="false">
      <c r="A2" s="2" t="s">
        <v>1182</v>
      </c>
    </row>
    <row r="4" customFormat="false" ht="15" hidden="false" customHeight="false" outlineLevel="0" collapsed="false">
      <c r="A4" s="11" t="s">
        <v>1183</v>
      </c>
      <c r="B4" s="11" t="s">
        <v>1184</v>
      </c>
    </row>
    <row r="5" customFormat="false" ht="15" hidden="false" customHeight="false" outlineLevel="0" collapsed="false">
      <c r="A5" s="12" t="s">
        <v>1185</v>
      </c>
      <c r="B5" s="12" t="n">
        <f aca="false">COUNTA(Items!A2:A100000)</f>
        <v>297</v>
      </c>
    </row>
    <row r="6" customFormat="false" ht="15" hidden="false" customHeight="false" outlineLevel="0" collapsed="false">
      <c r="A6" s="12" t="s">
        <v>1186</v>
      </c>
      <c r="B6" s="12" t="n">
        <f aca="false">COUNTA(Items!A2:A100000)-COUNTIF(Items!I2:I100000,"*Unlinked*")</f>
        <v>296</v>
      </c>
    </row>
    <row r="7" customFormat="false" ht="15" hidden="false" customHeight="false" outlineLevel="0" collapsed="false">
      <c r="A7" s="12" t="s">
        <v>24</v>
      </c>
      <c r="B7" s="12" t="n">
        <f aca="false">COUNTIF(Items!I2:I100000,"*Unlinked*")</f>
        <v>1</v>
      </c>
    </row>
    <row r="8" customFormat="false" ht="15" hidden="false" customHeight="false" outlineLevel="0" collapsed="false">
      <c r="A8" s="12" t="s">
        <v>1187</v>
      </c>
      <c r="B8" s="12" t="n">
        <f aca="false">COUNTIF(Items!I2:I100000,"*Non-numeric*")</f>
        <v>0</v>
      </c>
    </row>
    <row r="9" customFormat="false" ht="15" hidden="false" customHeight="false" outlineLevel="0" collapsed="false">
      <c r="A9" s="12" t="s">
        <v>1188</v>
      </c>
      <c r="B9" s="12" t="n">
        <f aca="false">COUNTIF(Items!I2:I100000,"*Duplicate PD id*")</f>
        <v>4</v>
      </c>
    </row>
    <row r="10" customFormat="false" ht="15" hidden="false" customHeight="false" outlineLevel="0" collapsed="false">
      <c r="A10" s="12" t="s">
        <v>1189</v>
      </c>
      <c r="B10" s="12" t="n">
        <f aca="false">COUNTIF(Items!I2:I100000,"*Duplicate Code*")</f>
        <v>2</v>
      </c>
    </row>
    <row r="11" customFormat="false" ht="15" hidden="false" customHeight="false" outlineLevel="0" collapsed="false">
      <c r="A11" s="12" t="s">
        <v>1190</v>
      </c>
      <c r="B11" s="12" t="n">
        <f aca="false">COUNTIF(Items!B2:B100000,"?*")</f>
        <v>297</v>
      </c>
    </row>
    <row r="12" customFormat="false" ht="15" hidden="false" customHeight="false" outlineLevel="0" collapsed="false">
      <c r="A12" s="12" t="s">
        <v>1191</v>
      </c>
      <c r="B12" s="12" t="n">
        <f aca="false">COUNTIF(Items!F2:F100000,"?*")</f>
        <v>1</v>
      </c>
    </row>
    <row r="15" customFormat="false" ht="15" hidden="false" customHeight="true" outlineLevel="0" collapsed="false">
      <c r="A15" s="13" t="s">
        <v>1192</v>
      </c>
      <c r="B15" s="13"/>
    </row>
    <row r="16" customFormat="false" ht="35.05" hidden="false" customHeight="true" outlineLevel="0" collapsed="false">
      <c r="A16" s="14" t="s">
        <v>1193</v>
      </c>
      <c r="B16" s="14"/>
    </row>
    <row r="17" customFormat="false" ht="35.05" hidden="false" customHeight="true" outlineLevel="0" collapsed="false">
      <c r="A17" s="14" t="s">
        <v>1194</v>
      </c>
      <c r="B17" s="14"/>
    </row>
    <row r="18" customFormat="false" ht="35.05" hidden="false" customHeight="true" outlineLevel="0" collapsed="false">
      <c r="A18" s="14" t="s">
        <v>1195</v>
      </c>
      <c r="B18" s="14"/>
    </row>
  </sheetData>
  <mergeCells count="4">
    <mergeCell ref="A15:B15"/>
    <mergeCell ref="A16:B16"/>
    <mergeCell ref="A17:B17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2026-07-24T23:53:26Z</dcterms:created>
  <dc:creator>openpyxl</dc:creator>
  <dc:description/>
  <dc:language>en-US</dc:language>
  <cp:lastModifiedBy/>
  <dcterms:modified xsi:type="dcterms:W3CDTF">2026-07-24T23:53:26Z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